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EE_Diario" sheetId="1" state="visible" r:id="rId3"/>
    <sheet name="Parametros" sheetId="2" state="visible" r:id="rId4"/>
    <sheet name="Resumen_Mensual" sheetId="3" state="visible" r:id="rId5"/>
    <sheet name="Pareto_Parada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<sst xmlns="http://schemas.openxmlformats.org/spreadsheetml/2006/main" count="625" uniqueCount="141">
  <si>
    <t xml:space="preserve">Base simulada de OEE diario – MYPE peruana de agua de mesa – línea de bidones de 20 L</t>
  </si>
  <si>
    <t xml:space="preserve">Datos sintéticos para fines académicos. Periodo: 01/01/2026–30/06/2026. L–V: 6 h; sábado: 4 h; domingos y feriados excluidos. Salida promedio: ~300 bidones/día (L–V).</t>
  </si>
  <si>
    <t xml:space="preserve">Cada fila representa una estación del proceso en un día de trabajo. Las tres estaciones procesan el mismo flujo: los bidones conformes de E1 entran a E2 y los de E2 entran a E3. Parámetros y catálogo de causas en la hoja Parametros.</t>
  </si>
  <si>
    <t xml:space="preserve">Fecha</t>
  </si>
  <si>
    <t xml:space="preserve">Mes_Num</t>
  </si>
  <si>
    <t xml:space="preserve">Estacion_ID</t>
  </si>
  <si>
    <t xml:space="preserve">Estacion</t>
  </si>
  <si>
    <t xml:space="preserve">Tiempo_Turno_h</t>
  </si>
  <si>
    <t xml:space="preserve">Parada_Planificada_h</t>
  </si>
  <si>
    <t xml:space="preserve">Tiempo_Planificado_h</t>
  </si>
  <si>
    <t xml:space="preserve">Parada_No_Planificada_h</t>
  </si>
  <si>
    <t xml:space="preserve">Tiempo_Operativo_h</t>
  </si>
  <si>
    <t xml:space="preserve">Causa_Parada_No_Planificada</t>
  </si>
  <si>
    <t xml:space="preserve">Capacidad_Nominal_bidones_h</t>
  </si>
  <si>
    <t xml:space="preserve">Produccion_Teorica_bidones</t>
  </si>
  <si>
    <t xml:space="preserve">Bidones_Procesados</t>
  </si>
  <si>
    <t xml:space="preserve">Bidones_Conformes</t>
  </si>
  <si>
    <t xml:space="preserve">Bidones_No_Conformes</t>
  </si>
  <si>
    <t xml:space="preserve">Disponibilidad_pct</t>
  </si>
  <si>
    <t xml:space="preserve">Rendimiento_pct</t>
  </si>
  <si>
    <t xml:space="preserve">Calidad_pct</t>
  </si>
  <si>
    <t xml:space="preserve">OEE_pct</t>
  </si>
  <si>
    <t xml:space="preserve">Falta de bidones vacíos (retorno de reparto)</t>
  </si>
  <si>
    <t xml:space="preserve">Falta de tapas o precintos</t>
  </si>
  <si>
    <t xml:space="preserve">Avería de lavadora de bidones</t>
  </si>
  <si>
    <t xml:space="preserve">Avería de selladora-etiquetadora</t>
  </si>
  <si>
    <t xml:space="preserve">Falta de personal</t>
  </si>
  <si>
    <t xml:space="preserve">Sin parada no planificada</t>
  </si>
  <si>
    <t xml:space="preserve">Avería de llenadora-tapadora</t>
  </si>
  <si>
    <t xml:space="preserve">Espera de proceso (línea detenida)</t>
  </si>
  <si>
    <t xml:space="preserve">Ajuste o limpieza correctiva</t>
  </si>
  <si>
    <t xml:space="preserve">Corte de suministro de agua</t>
  </si>
  <si>
    <t xml:space="preserve">Corte de energía eléctrica</t>
  </si>
  <si>
    <t xml:space="preserve">Resumen de control de la simulación (indicadores agregados: razón de totales del periodo)</t>
  </si>
  <si>
    <t xml:space="preserve">Métrica</t>
  </si>
  <si>
    <t xml:space="preserve">E1 Lavado</t>
  </si>
  <si>
    <t xml:space="preserve">E2 Llenado</t>
  </si>
  <si>
    <t xml:space="preserve">E3 Sellado</t>
  </si>
  <si>
    <t xml:space="preserve">Mínimo esperado</t>
  </si>
  <si>
    <t xml:space="preserve">Máximo esperado</t>
  </si>
  <si>
    <t xml:space="preserve">OEE</t>
  </si>
  <si>
    <t xml:space="preserve">Disponibilidad</t>
  </si>
  <si>
    <t xml:space="preserve">Rendimiento</t>
  </si>
  <si>
    <t xml:space="preserve">Calidad</t>
  </si>
  <si>
    <t xml:space="preserve">Bidones procesados en el periodo</t>
  </si>
  <si>
    <t xml:space="preserve">Verificaciones de integridad</t>
  </si>
  <si>
    <t xml:space="preserve">Bidones conformes de E1 = bidones procesados por E2</t>
  </si>
  <si>
    <t xml:space="preserve">Bidones conformes de E2 = bidones procesados por E3</t>
  </si>
  <si>
    <t xml:space="preserve">Filas con rendimiento mayor a 100 % (debe ser 0)</t>
  </si>
  <si>
    <t xml:space="preserve">Filas con conformes mayores al total procesado (debe ser 0)</t>
  </si>
  <si>
    <t xml:space="preserve">Filas con tiempo operativo negativo (debe ser 0)</t>
  </si>
  <si>
    <t xml:space="preserve">Días laborables simulados</t>
  </si>
  <si>
    <t xml:space="preserve">Días con paro total de planta (producción cero)</t>
  </si>
  <si>
    <t xml:space="preserve">Bidones conformes entregados en el periodo</t>
  </si>
  <si>
    <t xml:space="preserve">Litros equivalentes entregados (20 L por bidón)</t>
  </si>
  <si>
    <t xml:space="preserve">Promedio de bidones conformes por día</t>
  </si>
  <si>
    <t xml:space="preserve">Parámetros y supuestos de la simulación</t>
  </si>
  <si>
    <t xml:space="preserve">Las celdas en azul son los parámetros de entrada; la hoja OEE_Diario los referencia con fórmulas. Modificar un parámetro recalcula toda la base.</t>
  </si>
  <si>
    <t xml:space="preserve">Ficha de la empresa simulada</t>
  </si>
  <si>
    <t xml:space="preserve">Empresa</t>
  </si>
  <si>
    <t xml:space="preserve">MYPE peruana de agua de mesa (planta de envasado)</t>
  </si>
  <si>
    <t xml:space="preserve">Producto</t>
  </si>
  <si>
    <t xml:space="preserve">Bidón retornable de 20 L</t>
  </si>
  <si>
    <t xml:space="preserve">Ubicación</t>
  </si>
  <si>
    <t xml:space="preserve">Lima, Perú</t>
  </si>
  <si>
    <t xml:space="preserve">Personal de planta</t>
  </si>
  <si>
    <t xml:space="preserve">3 operarios (uno por estación) + 1 repartidor</t>
  </si>
  <si>
    <t xml:space="preserve">Régimen de trabajo</t>
  </si>
  <si>
    <t xml:space="preserve">Un turno diurno, de lunes a sábado</t>
  </si>
  <si>
    <t xml:space="preserve">Salida promedio</t>
  </si>
  <si>
    <t xml:space="preserve">≈300 bidones conformes por día (L–V); ≈150 los sábados</t>
  </si>
  <si>
    <t xml:space="preserve">Periodo simulado</t>
  </si>
  <si>
    <t xml:space="preserve">01/01/2026 al 30/06/2026</t>
  </si>
  <si>
    <t xml:space="preserve">Naturaleza de los datos</t>
  </si>
  <si>
    <t xml:space="preserve">Datos sintéticos generados con fines académicos; no provienen de una planta real</t>
  </si>
  <si>
    <t xml:space="preserve">Estaciones del proceso (la línea es secuencial: E1 → E2 → E3)</t>
  </si>
  <si>
    <t xml:space="preserve">Catálogo de causas de parada no planificada</t>
  </si>
  <si>
    <t xml:space="preserve">Tasa_defecto_referencial</t>
  </si>
  <si>
    <t xml:space="preserve">Causa</t>
  </si>
  <si>
    <t xml:space="preserve">E1 - Lavado y sanitizado de bidones</t>
  </si>
  <si>
    <t xml:space="preserve">E2 - Llenado y tapado</t>
  </si>
  <si>
    <t xml:space="preserve">E3 - Sellado y etiquetado</t>
  </si>
  <si>
    <t xml:space="preserve">Jornada de trabajo</t>
  </si>
  <si>
    <t xml:space="preserve">Turno de lunes a viernes (h)</t>
  </si>
  <si>
    <t xml:space="preserve">Turno de sábado (h)</t>
  </si>
  <si>
    <t xml:space="preserve">Domingos y feriados</t>
  </si>
  <si>
    <t xml:space="preserve">No se labora; esos días no generan filas en la base</t>
  </si>
  <si>
    <t xml:space="preserve">Parada planificada diaria</t>
  </si>
  <si>
    <t xml:space="preserve">Sanitización de arranque y limpieza de cierre (0,25 a 0,75 h según estación)</t>
  </si>
  <si>
    <t xml:space="preserve">Mantenimiento preventivo</t>
  </si>
  <si>
    <t xml:space="preserve">Sábados: cambio de filtros y lámpara UV (+0,25 h de parada planificada)</t>
  </si>
  <si>
    <t xml:space="preserve">Criterio de tiempo planificado</t>
  </si>
  <si>
    <t xml:space="preserve">Tiempo planificado = turno − parada planificada; la disponibilidad se mide sobre ese tiempo</t>
  </si>
  <si>
    <t xml:space="preserve">Registro de tiempos</t>
  </si>
  <si>
    <t xml:space="preserve">Los tiempos se anotan en planilla manual y se redondean a cuartos de hora</t>
  </si>
  <si>
    <t xml:space="preserve">La columna J de la hoja OEE_Diario solo admite valores de esta lista.</t>
  </si>
  <si>
    <t xml:space="preserve">Rangos esperados de los indicadores agregados (MYPE típica)</t>
  </si>
  <si>
    <t xml:space="preserve">Indicador</t>
  </si>
  <si>
    <t xml:space="preserve">Mínimo</t>
  </si>
  <si>
    <t xml:space="preserve">Máximo</t>
  </si>
  <si>
    <t xml:space="preserve">Referencia</t>
  </si>
  <si>
    <t xml:space="preserve">Clase mundial: 85 %. Una MYPE sin gestión de paradas suele ubicarse entre 45 % y 65 %.</t>
  </si>
  <si>
    <t xml:space="preserve">Averías, esperas de insumos y cortes de servicio.</t>
  </si>
  <si>
    <t xml:space="preserve">Marcha lenta y producción limitada por la demanda del día.</t>
  </si>
  <si>
    <t xml:space="preserve">Bidones rechazados por fuga, mal sellado o deterioro del envase.</t>
  </si>
  <si>
    <t xml:space="preserve">Feriados excluidos del periodo</t>
  </si>
  <si>
    <t xml:space="preserve">Feriado</t>
  </si>
  <si>
    <t xml:space="preserve">Año Nuevo</t>
  </si>
  <si>
    <t xml:space="preserve">Jueves Santo</t>
  </si>
  <si>
    <t xml:space="preserve">Viernes Santo</t>
  </si>
  <si>
    <t xml:space="preserve">Día del Trabajo</t>
  </si>
  <si>
    <t xml:space="preserve">Batalla de Arica y Día de la Bandera</t>
  </si>
  <si>
    <t xml:space="preserve">San Pedro y San Pablo</t>
  </si>
  <si>
    <t xml:space="preserve">Resumen mensual de producción y OEE</t>
  </si>
  <si>
    <t xml:space="preserve">Los bidones conformes son la salida real de la línea (estación E3). El OEE de cada estación se calcula como razón de totales del mes, no como promedio de porcentajes diarios.</t>
  </si>
  <si>
    <t xml:space="preserve">Mes</t>
  </si>
  <si>
    <t xml:space="preserve">Días trabajados</t>
  </si>
  <si>
    <t xml:space="preserve">Bidones conformes</t>
  </si>
  <si>
    <t xml:space="preserve">Litros equivalentes</t>
  </si>
  <si>
    <t xml:space="preserve">Promedio bidones/día</t>
  </si>
  <si>
    <t xml:space="preserve">Horas de parada no planificada</t>
  </si>
  <si>
    <t xml:space="preserve">OEE E1</t>
  </si>
  <si>
    <t xml:space="preserve">OEE E2</t>
  </si>
  <si>
    <t xml:space="preserve">OEE E3</t>
  </si>
  <si>
    <t xml:space="preserve">OEE promedio línea</t>
  </si>
  <si>
    <t xml:space="preserve">Enero</t>
  </si>
  <si>
    <t xml:space="preserve">Febrero</t>
  </si>
  <si>
    <t xml:space="preserve">Marzo</t>
  </si>
  <si>
    <t xml:space="preserve">Abril</t>
  </si>
  <si>
    <t xml:space="preserve">Mayo</t>
  </si>
  <si>
    <t xml:space="preserve">Junio</t>
  </si>
  <si>
    <t xml:space="preserve">Total / periodo</t>
  </si>
  <si>
    <t xml:space="preserve">El promedio de bidones por día incluye los sábados, que trabajan una jornada de 4 h; de lunes a viernes el promedio del periodo es de aproximadamente 300 bidones conformes.</t>
  </si>
  <si>
    <t xml:space="preserve">Pareto de paradas no planificadas</t>
  </si>
  <si>
    <t xml:space="preserve">Horas perdidas por causa en el periodo completo, ordenadas de mayor a menor. Es la base para priorizar las acciones de mejora sobre las pérdidas de disponibilidad.</t>
  </si>
  <si>
    <t xml:space="preserve">Horas de parada</t>
  </si>
  <si>
    <t xml:space="preserve">N° de eventos</t>
  </si>
  <si>
    <t xml:space="preserve">% del total</t>
  </si>
  <si>
    <t xml:space="preserve">% acumulado</t>
  </si>
  <si>
    <t xml:space="preserve">Total</t>
  </si>
  <si>
    <t xml:space="preserve">Horas de parada no planificada por causa y estación</t>
  </si>
</sst>
</file>

<file path=xl/styles.xml><?xml version="1.0" encoding="utf-8"?>
<styleSheet xmlns="http://schemas.openxmlformats.org/spreadsheetml/2006/main">
  <numFmts count="8">
    <numFmt numFmtId="164" formatCode="General"/>
    <numFmt numFmtId="165" formatCode="dd/mm/yyyy"/>
    <numFmt numFmtId="166" formatCode="0"/>
    <numFmt numFmtId="167" formatCode="0.00"/>
    <numFmt numFmtId="168" formatCode="0.00%"/>
    <numFmt numFmtId="169" formatCode="#,##0"/>
    <numFmt numFmtId="170" formatCode="0.0"/>
    <numFmt numFmtId="171" formatCode="0.0%"/>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sz val="10"/>
      <color rgb="FF1F1F1F"/>
      <name val="Calibri"/>
      <family val="0"/>
      <charset val="1"/>
    </font>
    <font>
      <b val="true"/>
      <sz val="11"/>
      <color rgb="FFFFFFFF"/>
      <name val="Calibri"/>
      <family val="0"/>
      <charset val="1"/>
    </font>
    <font>
      <sz val="11"/>
      <name val="Calibri"/>
      <family val="0"/>
      <charset val="1"/>
    </font>
    <font>
      <b val="true"/>
      <sz val="11"/>
      <name val="Calibri"/>
      <family val="0"/>
      <charset val="1"/>
    </font>
    <font>
      <sz val="11"/>
      <color rgb="FF0000FF"/>
      <name val="Calibri"/>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4E78"/>
        <bgColor rgb="FF003366"/>
      </patternFill>
    </fill>
    <fill>
      <patternFill patternType="solid">
        <fgColor rgb="FF2F75B5"/>
        <bgColor rgb="FF4A7EBB"/>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true" applyProtection="false">
      <alignment horizontal="center" vertical="center" textRotation="0" wrapText="false" indent="0" shrinkToFit="false"/>
      <protection locked="true" hidden="false"/>
    </xf>
    <xf numFmtId="166"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7" fontId="7" fillId="0" borderId="0" xfId="0" applyFont="true" applyBorder="false" applyAlignment="true" applyProtection="false">
      <alignment horizontal="center" vertical="center" textRotation="0" wrapText="false" indent="0" shrinkToFit="false"/>
      <protection locked="true" hidden="false"/>
    </xf>
    <xf numFmtId="168" fontId="7" fillId="0" borderId="0" xfId="0" applyFont="true" applyBorder="fals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9"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70" fontId="7" fillId="0" borderId="0" xfId="0" applyFont="true" applyBorder="fals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6" fontId="9" fillId="4" borderId="0" xfId="0" applyFont="true" applyBorder="false" applyAlignment="true" applyProtection="false">
      <alignment horizontal="center" vertical="center" textRotation="0" wrapText="false" indent="0" shrinkToFit="false"/>
      <protection locked="true" hidden="false"/>
    </xf>
    <xf numFmtId="168" fontId="9" fillId="0" borderId="0" xfId="0" applyFont="true" applyBorder="false" applyAlignment="true" applyProtection="false">
      <alignment horizontal="center" vertical="center" textRotation="0" wrapText="false" indent="0" shrinkToFit="false"/>
      <protection locked="true" hidden="false"/>
    </xf>
    <xf numFmtId="167" fontId="9" fillId="4"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6" fontId="8" fillId="0" borderId="0" xfId="0" applyFont="true" applyBorder="false" applyAlignment="true" applyProtection="false">
      <alignment horizontal="center" vertical="center" textRotation="0" wrapText="false" indent="0" shrinkToFit="false"/>
      <protection locked="true" hidden="false"/>
    </xf>
    <xf numFmtId="169" fontId="8" fillId="0" borderId="0" xfId="0" applyFont="true" applyBorder="false" applyAlignment="true" applyProtection="false">
      <alignment horizontal="center" vertical="center" textRotation="0" wrapText="false" indent="0" shrinkToFit="false"/>
      <protection locked="true" hidden="false"/>
    </xf>
    <xf numFmtId="170" fontId="8" fillId="0" borderId="0" xfId="0" applyFont="true" applyBorder="false" applyAlignment="true" applyProtection="false">
      <alignment horizontal="center" vertical="center" textRotation="0" wrapText="false" indent="0" shrinkToFit="false"/>
      <protection locked="true" hidden="false"/>
    </xf>
    <xf numFmtId="167" fontId="8" fillId="0" borderId="0" xfId="0" applyFont="true" applyBorder="false" applyAlignment="true" applyProtection="false">
      <alignment horizontal="center" vertical="center" textRotation="0" wrapText="false" indent="0" shrinkToFit="false"/>
      <protection locked="true" hidden="false"/>
    </xf>
    <xf numFmtId="168" fontId="8" fillId="0" borderId="0" xfId="0" applyFont="true" applyBorder="false" applyAlignment="true" applyProtection="false">
      <alignment horizontal="center" vertical="center" textRotation="0" wrapText="false" indent="0" shrinkToFit="false"/>
      <protection locked="true" hidden="false"/>
    </xf>
    <xf numFmtId="171" fontId="7" fillId="0" borderId="0" xfId="0" applyFont="true" applyBorder="false" applyAlignment="true" applyProtection="false">
      <alignment horizontal="center" vertical="center" textRotation="0" wrapText="false" indent="0" shrinkToFit="false"/>
      <protection locked="true" hidden="false"/>
    </xf>
    <xf numFmtId="171" fontId="8"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5">
    <dxf>
      <fill>
        <patternFill patternType="solid">
          <fgColor rgb="FF2F75B5"/>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FEFCF"/>
          <bgColor rgb="FF000000"/>
        </patternFill>
      </fill>
    </dxf>
    <dxf>
      <fill>
        <patternFill patternType="solid">
          <fgColor rgb="FFF0EFCE"/>
          <bgColor rgb="FF000000"/>
        </patternFill>
      </fill>
    </dxf>
    <dxf>
      <fill>
        <patternFill patternType="solid">
          <fgColor rgb="FFF1EFCE"/>
          <bgColor rgb="FF000000"/>
        </patternFill>
      </fill>
    </dxf>
    <dxf>
      <fill>
        <patternFill patternType="solid">
          <fgColor rgb="FFF2F0CE"/>
          <bgColor rgb="FF000000"/>
        </patternFill>
      </fill>
    </dxf>
    <dxf>
      <fill>
        <patternFill patternType="solid">
          <fgColor rgb="FFF4CCCC"/>
          <bgColor rgb="FF000000"/>
        </patternFill>
      </fill>
    </dxf>
    <dxf>
      <fill>
        <patternFill patternType="solid">
          <fgColor rgb="FFF5D2CC"/>
          <bgColor rgb="FF000000"/>
        </patternFill>
      </fill>
    </dxf>
    <dxf>
      <fill>
        <patternFill patternType="solid">
          <fgColor rgb="FFF7D9CC"/>
          <bgColor rgb="FF000000"/>
        </patternFill>
      </fill>
    </dxf>
    <dxf>
      <fill>
        <patternFill patternType="solid">
          <fgColor rgb="FFF8DBCC"/>
          <bgColor rgb="FF000000"/>
        </patternFill>
      </fill>
    </dxf>
    <dxf>
      <fill>
        <patternFill patternType="solid">
          <fgColor rgb="FFF8DDCC"/>
          <bgColor rgb="FF000000"/>
        </patternFill>
      </fill>
    </dxf>
    <dxf>
      <fill>
        <patternFill patternType="solid">
          <fgColor rgb="FFF9DDCC"/>
          <bgColor rgb="FF000000"/>
        </patternFill>
      </fill>
    </dxf>
    <dxf>
      <fill>
        <patternFill patternType="solid">
          <fgColor rgb="FFF9E0CC"/>
          <bgColor rgb="FF000000"/>
        </patternFill>
      </fill>
    </dxf>
    <dxf>
      <fill>
        <patternFill patternType="solid">
          <fgColor rgb="FFFAE1CC"/>
          <bgColor rgb="FF000000"/>
        </patternFill>
      </fill>
    </dxf>
    <dxf>
      <fill>
        <patternFill patternType="solid">
          <fgColor rgb="FFFAE2CC"/>
          <bgColor rgb="FF000000"/>
        </patternFill>
      </fill>
    </dxf>
    <dxf>
      <fill>
        <patternFill patternType="solid">
          <fgColor rgb="FFFAE3CC"/>
          <bgColor rgb="FF000000"/>
        </patternFill>
      </fill>
    </dxf>
    <dxf>
      <fill>
        <patternFill patternType="solid">
          <fgColor rgb="FFFAE4CC"/>
          <bgColor rgb="FF000000"/>
        </patternFill>
      </fill>
    </dxf>
    <dxf>
      <fill>
        <patternFill patternType="solid">
          <fgColor rgb="FFFBE4CC"/>
          <bgColor rgb="FF000000"/>
        </patternFill>
      </fill>
    </dxf>
    <dxf>
      <fill>
        <patternFill patternType="solid">
          <fgColor rgb="FFFBE5CC"/>
          <bgColor rgb="FF000000"/>
        </patternFill>
      </fill>
    </dxf>
    <dxf>
      <fill>
        <patternFill patternType="solid">
          <fgColor rgb="FFFBE6CC"/>
          <bgColor rgb="FF000000"/>
        </patternFill>
      </fill>
    </dxf>
    <dxf>
      <fill>
        <patternFill patternType="solid">
          <fgColor rgb="FFFBE7CC"/>
          <bgColor rgb="FF000000"/>
        </patternFill>
      </fill>
    </dxf>
    <dxf>
      <fill>
        <patternFill patternType="solid">
          <fgColor rgb="FFFCE8CC"/>
          <bgColor rgb="FF000000"/>
        </patternFill>
      </fill>
    </dxf>
    <dxf>
      <fill>
        <patternFill patternType="solid">
          <fgColor rgb="FFFCE9CC"/>
          <bgColor rgb="FF000000"/>
        </patternFill>
      </fill>
    </dxf>
    <dxf>
      <fill>
        <patternFill patternType="solid">
          <fgColor rgb="FFFCEACC"/>
          <bgColor rgb="FF000000"/>
        </patternFill>
      </fill>
    </dxf>
    <dxf>
      <fill>
        <patternFill patternType="solid">
          <fgColor rgb="FFFDEBCC"/>
          <bgColor rgb="FF000000"/>
        </patternFill>
      </fill>
    </dxf>
    <dxf>
      <fill>
        <patternFill patternType="solid">
          <fgColor rgb="FFFDECCC"/>
          <bgColor rgb="FF000000"/>
        </patternFill>
      </fill>
    </dxf>
    <dxf>
      <fill>
        <patternFill patternType="solid">
          <fgColor rgb="FFFDEDCC"/>
          <bgColor rgb="FF000000"/>
        </patternFill>
      </fill>
    </dxf>
    <dxf>
      <fill>
        <patternFill patternType="solid">
          <fgColor rgb="FFFDEECC"/>
          <bgColor rgb="FF000000"/>
        </patternFill>
      </fill>
    </dxf>
    <dxf>
      <fill>
        <patternFill patternType="solid">
          <fgColor rgb="FFFDF2CC"/>
          <bgColor rgb="FF000000"/>
        </patternFill>
      </fill>
    </dxf>
    <dxf>
      <fill>
        <patternFill patternType="solid">
          <fgColor rgb="FFFEEECC"/>
          <bgColor rgb="FF000000"/>
        </patternFill>
      </fill>
    </dxf>
    <dxf>
      <fill>
        <patternFill patternType="solid">
          <fgColor rgb="FFFEEFCC"/>
          <bgColor rgb="FF000000"/>
        </patternFill>
      </fill>
    </dxf>
    <dxf>
      <fill>
        <patternFill patternType="solid">
          <fgColor rgb="FFFEF1CC"/>
          <bgColor rgb="FF000000"/>
        </patternFill>
      </fill>
    </dxf>
    <dxf>
      <fill>
        <patternFill patternType="solid">
          <fgColor rgb="FFFFF2CC"/>
          <bgColor rgb="FF000000"/>
        </patternFill>
      </fill>
    </dxf>
    <dxf>
      <fill>
        <patternFill patternType="solid">
          <fgColor rgb="FFDBEBD2"/>
          <bgColor rgb="FF000000"/>
        </patternFill>
      </fill>
    </dxf>
    <dxf>
      <fill>
        <patternFill patternType="solid">
          <fgColor rgb="FFDCEBD2"/>
          <bgColor rgb="FF000000"/>
        </patternFill>
      </fill>
    </dxf>
    <dxf>
      <fill>
        <patternFill patternType="solid">
          <fgColor rgb="FFDEEBD2"/>
          <bgColor rgb="FF000000"/>
        </patternFill>
      </fill>
    </dxf>
    <dxf>
      <fill>
        <patternFill patternType="solid">
          <fgColor rgb="FFDFECD1"/>
          <bgColor rgb="FF000000"/>
        </patternFill>
      </fill>
    </dxf>
    <dxf>
      <fill>
        <patternFill patternType="solid">
          <fgColor rgb="FFE1ECD1"/>
          <bgColor rgb="FF000000"/>
        </patternFill>
      </fill>
    </dxf>
    <dxf>
      <fill>
        <patternFill patternType="solid">
          <fgColor rgb="FFE2ECD1"/>
          <bgColor rgb="FF000000"/>
        </patternFill>
      </fill>
    </dxf>
    <dxf>
      <fill>
        <patternFill patternType="solid">
          <fgColor rgb="FFE3ECD1"/>
          <bgColor rgb="FF000000"/>
        </patternFill>
      </fill>
    </dxf>
    <dxf>
      <fill>
        <patternFill patternType="solid">
          <fgColor rgb="FFE3EDD1"/>
          <bgColor rgb="FF000000"/>
        </patternFill>
      </fill>
    </dxf>
    <dxf>
      <fill>
        <patternFill patternType="solid">
          <fgColor rgb="FFE4EDD1"/>
          <bgColor rgb="FF000000"/>
        </patternFill>
      </fill>
    </dxf>
    <dxf>
      <fill>
        <patternFill patternType="solid">
          <fgColor rgb="FFE5EDD0"/>
          <bgColor rgb="FF000000"/>
        </patternFill>
      </fill>
    </dxf>
    <dxf>
      <fill>
        <patternFill patternType="solid">
          <fgColor rgb="FFE6EDD0"/>
          <bgColor rgb="FF000000"/>
        </patternFill>
      </fill>
    </dxf>
    <dxf>
      <fill>
        <patternFill patternType="solid">
          <fgColor rgb="FFE7EDD0"/>
          <bgColor rgb="FF000000"/>
        </patternFill>
      </fill>
    </dxf>
    <dxf>
      <fill>
        <patternFill patternType="solid">
          <fgColor rgb="FFE8EDD0"/>
          <bgColor rgb="FF000000"/>
        </patternFill>
      </fill>
    </dxf>
    <dxf>
      <fill>
        <patternFill patternType="solid">
          <fgColor rgb="FFE9EED0"/>
          <bgColor rgb="FF000000"/>
        </patternFill>
      </fill>
    </dxf>
    <dxf>
      <fill>
        <patternFill patternType="solid">
          <fgColor rgb="FFEAEECF"/>
          <bgColor rgb="FF000000"/>
        </patternFill>
      </fill>
    </dxf>
    <dxf>
      <fill>
        <patternFill patternType="solid">
          <fgColor rgb="FFEAEED0"/>
          <bgColor rgb="FF000000"/>
        </patternFill>
      </fill>
    </dxf>
    <dxf>
      <fill>
        <patternFill patternType="solid">
          <fgColor rgb="FFEBEECF"/>
          <bgColor rgb="FF000000"/>
        </patternFill>
      </fill>
    </dxf>
    <dxf>
      <fill>
        <patternFill patternType="solid">
          <fgColor rgb="FFECEECF"/>
          <bgColor rgb="FF000000"/>
        </patternFill>
      </fill>
    </dxf>
    <dxf>
      <fill>
        <patternFill patternType="solid">
          <fgColor rgb="FFEDEFCF"/>
          <bgColor rgb="FF000000"/>
        </patternFill>
      </fill>
    </dxf>
    <dxf>
      <fill>
        <patternFill patternType="solid">
          <fgColor rgb="FFEEEFCF"/>
          <bgColor rgb="FF000000"/>
        </patternFill>
      </fill>
    </dxf>
    <dxf>
      <fill>
        <patternFill patternType="solid">
          <fgColor rgb="FFEFEFCE"/>
          <bgColor rgb="FF000000"/>
        </patternFill>
      </fill>
    </dxf>
    <dxf>
      <fill>
        <patternFill patternType="solid">
          <fgColor rgb="FFF1F0CE"/>
          <bgColor rgb="FF000000"/>
        </patternFill>
      </fill>
    </dxf>
    <dxf>
      <fill>
        <patternFill patternType="solid">
          <fgColor rgb="FFF3F0CE"/>
          <bgColor rgb="FF000000"/>
        </patternFill>
      </fill>
    </dxf>
    <dxf>
      <fill>
        <patternFill patternType="solid">
          <fgColor rgb="FFF4F0CE"/>
          <bgColor rgb="FF000000"/>
        </patternFill>
      </fill>
    </dxf>
    <dxf>
      <fill>
        <patternFill patternType="solid">
          <fgColor rgb="FFF5F0CD"/>
          <bgColor rgb="FF000000"/>
        </patternFill>
      </fill>
    </dxf>
    <dxf>
      <fill>
        <patternFill patternType="solid">
          <fgColor rgb="FFF6F0CD"/>
          <bgColor rgb="FF000000"/>
        </patternFill>
      </fill>
    </dxf>
    <dxf>
      <fill>
        <patternFill patternType="solid">
          <fgColor rgb="FFF6F1CD"/>
          <bgColor rgb="FF000000"/>
        </patternFill>
      </fill>
    </dxf>
    <dxf>
      <fill>
        <patternFill patternType="solid">
          <fgColor rgb="FFF7F1CD"/>
          <bgColor rgb="FF000000"/>
        </patternFill>
      </fill>
    </dxf>
    <dxf>
      <fill>
        <patternFill patternType="solid">
          <fgColor rgb="FFF8DCCC"/>
          <bgColor rgb="FF000000"/>
        </patternFill>
      </fill>
    </dxf>
    <dxf>
      <fill>
        <patternFill patternType="solid">
          <fgColor rgb="FFF8F1CD"/>
          <bgColor rgb="FF000000"/>
        </patternFill>
      </fill>
    </dxf>
    <dxf>
      <fill>
        <patternFill patternType="solid">
          <fgColor rgb="FFF9F1CD"/>
          <bgColor rgb="FF000000"/>
        </patternFill>
      </fill>
    </dxf>
    <dxf>
      <fill>
        <patternFill patternType="solid">
          <fgColor rgb="FFFAF1CC"/>
          <bgColor rgb="FF000000"/>
        </patternFill>
      </fill>
    </dxf>
    <dxf>
      <fill>
        <patternFill patternType="solid">
          <fgColor rgb="FFFAF1CD"/>
          <bgColor rgb="FF000000"/>
        </patternFill>
      </fill>
    </dxf>
    <dxf>
      <fill>
        <patternFill patternType="solid">
          <fgColor rgb="FFFBF1CC"/>
          <bgColor rgb="FF000000"/>
        </patternFill>
      </fill>
    </dxf>
    <dxf>
      <fill>
        <patternFill patternType="solid">
          <fgColor rgb="FFFBF2CC"/>
          <bgColor rgb="FF000000"/>
        </patternFill>
      </fill>
    </dxf>
    <dxf>
      <fill>
        <patternFill patternType="solid">
          <fgColor rgb="FFFCE7CC"/>
          <bgColor rgb="FF000000"/>
        </patternFill>
      </fill>
    </dxf>
    <dxf>
      <fill>
        <patternFill patternType="solid">
          <fgColor rgb="FFFCEBCC"/>
          <bgColor rgb="FF000000"/>
        </patternFill>
      </fill>
    </dxf>
    <dxf>
      <fill>
        <patternFill patternType="solid">
          <fgColor rgb="FFFCF2CC"/>
          <bgColor rgb="FF000000"/>
        </patternFill>
      </fill>
    </dxf>
    <dxf>
      <fill>
        <patternFill patternType="solid">
          <fgColor rgb="FFFEF0CC"/>
          <bgColor rgb="FF000000"/>
        </patternFill>
      </fill>
    </dxf>
    <dxf>
      <fill>
        <patternFill patternType="solid">
          <fgColor rgb="FFFEF2CC"/>
          <bgColor rgb="FF000000"/>
        </patternFill>
      </fill>
    </dxf>
    <dxf>
      <fill>
        <patternFill patternType="solid">
          <fgColor rgb="FFDAEBD2"/>
          <bgColor rgb="FF000000"/>
        </patternFill>
      </fill>
    </dxf>
    <dxf>
      <fill>
        <patternFill patternType="solid">
          <fgColor rgb="FFDDEBD2"/>
          <bgColor rgb="FF000000"/>
        </patternFill>
      </fill>
    </dxf>
    <dxf>
      <fill>
        <patternFill patternType="solid">
          <fgColor rgb="FFDEECD2"/>
          <bgColor rgb="FF000000"/>
        </patternFill>
      </fill>
    </dxf>
    <dxf>
      <fill>
        <patternFill patternType="solid">
          <fgColor rgb="FFE8EED0"/>
          <bgColor rgb="FF000000"/>
        </patternFill>
      </fill>
    </dxf>
    <dxf>
      <fill>
        <patternFill patternType="solid">
          <fgColor rgb="FFF5F0CE"/>
          <bgColor rgb="FF000000"/>
        </patternFill>
      </fill>
    </dxf>
    <dxf>
      <fill>
        <patternFill patternType="solid">
          <fgColor rgb="FFF6D3CC"/>
          <bgColor rgb="FF000000"/>
        </patternFill>
      </fill>
    </dxf>
    <dxf>
      <fill>
        <patternFill patternType="solid">
          <fgColor rgb="FFF6D4CC"/>
          <bgColor rgb="FF000000"/>
        </patternFill>
      </fill>
    </dxf>
    <dxf>
      <fill>
        <patternFill patternType="solid">
          <fgColor rgb="FFF8DACC"/>
          <bgColor rgb="FF000000"/>
        </patternFill>
      </fill>
    </dxf>
    <dxf>
      <fill>
        <patternFill patternType="solid">
          <fgColor rgb="FFF9DECC"/>
          <bgColor rgb="FF000000"/>
        </patternFill>
      </fill>
    </dxf>
    <dxf>
      <fill>
        <patternFill patternType="solid">
          <fgColor rgb="FFF9DF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F75B5"/>
      <rgbColor rgb="FF33CCCC"/>
      <rgbColor rgb="FF98B855"/>
      <rgbColor rgb="FFFFCC00"/>
      <rgbColor rgb="FFFF9900"/>
      <rgbColor rgb="FFFF6600"/>
      <rgbColor rgb="FF4A7EBB"/>
      <rgbColor rgb="FF969696"/>
      <rgbColor rgb="FF003366"/>
      <rgbColor rgb="FF4F81BD"/>
      <rgbColor rgb="FF003300"/>
      <rgbColor rgb="FF333300"/>
      <rgbColor rgb="FF9933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Evolución mensual del OEE por estación</a:t>
            </a:r>
          </a:p>
        </c:rich>
      </c:tx>
      <c:overlay val="0"/>
      <c:spPr>
        <a:noFill/>
        <a:ln w="0">
          <a:noFill/>
        </a:ln>
      </c:spPr>
    </c:title>
    <c:autoTitleDeleted val="0"/>
    <c:plotArea>
      <c:lineChart>
        <c:grouping val="standard"/>
        <c:varyColors val="0"/>
        <c:ser>
          <c:idx val="0"/>
          <c:order val="0"/>
          <c:tx>
            <c:strRef>
              <c:f>Resumen_Mensual!H4</c:f>
              <c:strCache>
                <c:ptCount val="1"/>
                <c:pt idx="0">
                  <c:v>OEE E1</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Resumen_Mensual!$A$5:$A$10</c:f>
              <c:strCache>
                <c:ptCount val="6"/>
                <c:pt idx="0">
                  <c:v>Enero</c:v>
                </c:pt>
                <c:pt idx="1">
                  <c:v>Febrero</c:v>
                </c:pt>
                <c:pt idx="2">
                  <c:v>Marzo</c:v>
                </c:pt>
                <c:pt idx="3">
                  <c:v>Abril</c:v>
                </c:pt>
                <c:pt idx="4">
                  <c:v>Mayo</c:v>
                </c:pt>
                <c:pt idx="5">
                  <c:v>Junio</c:v>
                </c:pt>
              </c:strCache>
            </c:strRef>
          </c:cat>
          <c:val>
            <c:numRef>
              <c:f>Resumen_Mensual!$H$5:$H$10</c:f>
              <c:numCache>
                <c:formatCode>0.00%</c:formatCode>
                <c:ptCount val="6"/>
                <c:pt idx="0">
                  <c:v>0.598707224334601</c:v>
                </c:pt>
                <c:pt idx="1">
                  <c:v>0.579016393442623</c:v>
                </c:pt>
                <c:pt idx="2">
                  <c:v>0.565233644859813</c:v>
                </c:pt>
                <c:pt idx="3">
                  <c:v>0.588524590163934</c:v>
                </c:pt>
                <c:pt idx="4">
                  <c:v>0.507729083665339</c:v>
                </c:pt>
                <c:pt idx="5">
                  <c:v>0.496986301369863</c:v>
                </c:pt>
              </c:numCache>
            </c:numRef>
          </c:val>
          <c:smooth val="1"/>
        </c:ser>
        <c:ser>
          <c:idx val="1"/>
          <c:order val="1"/>
          <c:tx>
            <c:strRef>
              <c:f>Resumen_Mensual!I4</c:f>
              <c:strCache>
                <c:ptCount val="1"/>
                <c:pt idx="0">
                  <c:v>OEE E2</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Resumen_Mensual!$A$5:$A$10</c:f>
              <c:strCache>
                <c:ptCount val="6"/>
                <c:pt idx="0">
                  <c:v>Enero</c:v>
                </c:pt>
                <c:pt idx="1">
                  <c:v>Febrero</c:v>
                </c:pt>
                <c:pt idx="2">
                  <c:v>Marzo</c:v>
                </c:pt>
                <c:pt idx="3">
                  <c:v>Abril</c:v>
                </c:pt>
                <c:pt idx="4">
                  <c:v>Mayo</c:v>
                </c:pt>
                <c:pt idx="5">
                  <c:v>Junio</c:v>
                </c:pt>
              </c:strCache>
            </c:strRef>
          </c:cat>
          <c:val>
            <c:numRef>
              <c:f>Resumen_Mensual!$I$5:$I$10</c:f>
              <c:numCache>
                <c:formatCode>0.00%</c:formatCode>
                <c:ptCount val="6"/>
                <c:pt idx="0">
                  <c:v>0.652251872165383</c:v>
                </c:pt>
                <c:pt idx="1">
                  <c:v>0.627775891341256</c:v>
                </c:pt>
                <c:pt idx="2">
                  <c:v>0.616381189660542</c:v>
                </c:pt>
                <c:pt idx="3">
                  <c:v>0.636458098034787</c:v>
                </c:pt>
                <c:pt idx="4">
                  <c:v>0.549653884188551</c:v>
                </c:pt>
                <c:pt idx="5">
                  <c:v>0.536605316973415</c:v>
                </c:pt>
              </c:numCache>
            </c:numRef>
          </c:val>
          <c:smooth val="1"/>
        </c:ser>
        <c:ser>
          <c:idx val="2"/>
          <c:order val="2"/>
          <c:tx>
            <c:strRef>
              <c:f>Resumen_Mensual!J4</c:f>
              <c:strCache>
                <c:ptCount val="1"/>
                <c:pt idx="0">
                  <c:v>OEE E3</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Resumen_Mensual!$A$5:$A$10</c:f>
              <c:strCache>
                <c:ptCount val="6"/>
                <c:pt idx="0">
                  <c:v>Enero</c:v>
                </c:pt>
                <c:pt idx="1">
                  <c:v>Febrero</c:v>
                </c:pt>
                <c:pt idx="2">
                  <c:v>Marzo</c:v>
                </c:pt>
                <c:pt idx="3">
                  <c:v>Abril</c:v>
                </c:pt>
                <c:pt idx="4">
                  <c:v>Mayo</c:v>
                </c:pt>
                <c:pt idx="5">
                  <c:v>Junio</c:v>
                </c:pt>
              </c:strCache>
            </c:strRef>
          </c:cat>
          <c:val>
            <c:numRef>
              <c:f>Resumen_Mensual!$J$5:$J$10</c:f>
              <c:numCache>
                <c:formatCode>0.00%</c:formatCode>
                <c:ptCount val="6"/>
                <c:pt idx="0">
                  <c:v>0.58701946122136</c:v>
                </c:pt>
                <c:pt idx="1">
                  <c:v>0.561512519161983</c:v>
                </c:pt>
                <c:pt idx="2">
                  <c:v>0.551796603808988</c:v>
                </c:pt>
                <c:pt idx="3">
                  <c:v>0.575164473684211</c:v>
                </c:pt>
                <c:pt idx="4">
                  <c:v>0.494098883572568</c:v>
                </c:pt>
                <c:pt idx="5">
                  <c:v>0.485509099852435</c:v>
                </c:pt>
              </c:numCache>
            </c:numRef>
          </c:val>
          <c:smooth val="1"/>
        </c:ser>
        <c:hiLowLines>
          <c:spPr>
            <a:ln w="0">
              <a:noFill/>
            </a:ln>
          </c:spPr>
        </c:hiLowLines>
        <c:marker val="0"/>
        <c:axId val="67455090"/>
        <c:axId val="98897596"/>
      </c:lineChart>
      <c:catAx>
        <c:axId val="6745509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897596"/>
        <c:crosses val="autoZero"/>
        <c:auto val="1"/>
        <c:lblAlgn val="ctr"/>
        <c:lblOffset val="100"/>
        <c:noMultiLvlLbl val="0"/>
      </c:catAx>
      <c:valAx>
        <c:axId val="9889759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OEE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45509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Bidones conformes por mes</a:t>
            </a:r>
          </a:p>
        </c:rich>
      </c:tx>
      <c:overlay val="0"/>
      <c:spPr>
        <a:noFill/>
        <a:ln w="0">
          <a:noFill/>
        </a:ln>
      </c:spPr>
    </c:title>
    <c:autoTitleDeleted val="0"/>
    <c:plotArea>
      <c:barChart>
        <c:barDir val="col"/>
        <c:grouping val="clustered"/>
        <c:varyColors val="0"/>
        <c:ser>
          <c:idx val="0"/>
          <c:order val="0"/>
          <c:tx>
            <c:strRef>
              <c:f>Resumen_Mensual!D4</c:f>
              <c:strCache>
                <c:ptCount val="1"/>
                <c:pt idx="0">
                  <c:v>Bidones conformes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Resumen_Mensual!$A$5:$A$10</c:f>
              <c:strCache>
                <c:ptCount val="6"/>
                <c:pt idx="0">
                  <c:v>Enero</c:v>
                </c:pt>
                <c:pt idx="1">
                  <c:v>Febrero</c:v>
                </c:pt>
                <c:pt idx="2">
                  <c:v>Marzo</c:v>
                </c:pt>
                <c:pt idx="3">
                  <c:v>Abril</c:v>
                </c:pt>
                <c:pt idx="4">
                  <c:v>Mayo</c:v>
                </c:pt>
                <c:pt idx="5">
                  <c:v>Junio</c:v>
                </c:pt>
              </c:strCache>
            </c:strRef>
          </c:cat>
          <c:val>
            <c:numRef>
              <c:f>Resumen_Mensual!$D$5:$D$10</c:f>
              <c:numCache>
                <c:formatCode>#,##0</c:formatCode>
                <c:ptCount val="6"/>
                <c:pt idx="0">
                  <c:v>7654</c:v>
                </c:pt>
                <c:pt idx="1">
                  <c:v>6868</c:v>
                </c:pt>
                <c:pt idx="2">
                  <c:v>7352</c:v>
                </c:pt>
                <c:pt idx="3">
                  <c:v>6994</c:v>
                </c:pt>
                <c:pt idx="4">
                  <c:v>6196</c:v>
                </c:pt>
                <c:pt idx="5">
                  <c:v>6169</c:v>
                </c:pt>
              </c:numCache>
            </c:numRef>
          </c:val>
        </c:ser>
        <c:gapWidth val="150"/>
        <c:overlap val="0"/>
        <c:axId val="23119511"/>
        <c:axId val="4244822"/>
      </c:barChart>
      <c:catAx>
        <c:axId val="231195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44822"/>
        <c:crosses val="autoZero"/>
        <c:auto val="1"/>
        <c:lblAlgn val="ctr"/>
        <c:lblOffset val="100"/>
        <c:noMultiLvlLbl val="0"/>
      </c:catAx>
      <c:valAx>
        <c:axId val="42448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Bidones de 20 L</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11951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Horas de parada no planificada por causa</a:t>
            </a:r>
          </a:p>
        </c:rich>
      </c:tx>
      <c:overlay val="0"/>
      <c:spPr>
        <a:noFill/>
        <a:ln w="0">
          <a:noFill/>
        </a:ln>
      </c:spPr>
    </c:title>
    <c:autoTitleDeleted val="0"/>
    <c:plotArea>
      <c:barChart>
        <c:barDir val="col"/>
        <c:grouping val="clustered"/>
        <c:varyColors val="0"/>
        <c:ser>
          <c:idx val="0"/>
          <c:order val="0"/>
          <c:tx>
            <c:strRef>
              <c:f>Pareto_Paradas!B4</c:f>
              <c:strCache>
                <c:ptCount val="1"/>
                <c:pt idx="0">
                  <c:v>Horas de parada</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Pareto_Paradas!$A$5:$A$14</c:f>
              <c:strCache>
                <c:ptCount val="10"/>
                <c:pt idx="0">
                  <c:v>Avería de llenadora-tapadora</c:v>
                </c:pt>
                <c:pt idx="1">
                  <c:v>Ajuste o limpieza correctiva</c:v>
                </c:pt>
                <c:pt idx="2">
                  <c:v>Espera de proceso (línea detenida)</c:v>
                </c:pt>
                <c:pt idx="3">
                  <c:v>Falta de tapas o precintos</c:v>
                </c:pt>
                <c:pt idx="4">
                  <c:v>Falta de bidones vacíos (retorno de reparto)</c:v>
                </c:pt>
                <c:pt idx="5">
                  <c:v>Avería de selladora-etiquetadora</c:v>
                </c:pt>
                <c:pt idx="6">
                  <c:v>Falta de personal</c:v>
                </c:pt>
                <c:pt idx="7">
                  <c:v>Corte de energía eléctrica</c:v>
                </c:pt>
                <c:pt idx="8">
                  <c:v>Avería de lavadora de bidones</c:v>
                </c:pt>
                <c:pt idx="9">
                  <c:v>Corte de suministro de agua</c:v>
                </c:pt>
              </c:strCache>
            </c:strRef>
          </c:cat>
          <c:val>
            <c:numRef>
              <c:f>Pareto_Paradas!$B$5:$B$14</c:f>
              <c:numCache>
                <c:formatCode>0.00</c:formatCode>
                <c:ptCount val="10"/>
                <c:pt idx="0">
                  <c:v>59.5</c:v>
                </c:pt>
                <c:pt idx="1">
                  <c:v>38</c:v>
                </c:pt>
                <c:pt idx="2">
                  <c:v>35.75</c:v>
                </c:pt>
                <c:pt idx="3">
                  <c:v>30.5</c:v>
                </c:pt>
                <c:pt idx="4">
                  <c:v>23.5</c:v>
                </c:pt>
                <c:pt idx="5">
                  <c:v>19.25</c:v>
                </c:pt>
                <c:pt idx="6">
                  <c:v>18</c:v>
                </c:pt>
                <c:pt idx="7">
                  <c:v>16</c:v>
                </c:pt>
                <c:pt idx="8">
                  <c:v>10.25</c:v>
                </c:pt>
                <c:pt idx="9">
                  <c:v>9.75</c:v>
                </c:pt>
              </c:numCache>
            </c:numRef>
          </c:val>
        </c:ser>
        <c:gapWidth val="150"/>
        <c:overlap val="0"/>
        <c:axId val="45419242"/>
        <c:axId val="5138872"/>
      </c:barChart>
      <c:catAx>
        <c:axId val="454192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38872"/>
        <c:crosses val="autoZero"/>
        <c:auto val="1"/>
        <c:lblAlgn val="ctr"/>
        <c:lblOffset val="100"/>
        <c:noMultiLvlLbl val="0"/>
      </c:catAx>
      <c:valAx>
        <c:axId val="513887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Horas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41924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0</xdr:rowOff>
    </xdr:from>
    <xdr:to>
      <xdr:col>6</xdr:col>
      <xdr:colOff>73080</xdr:colOff>
      <xdr:row>29</xdr:row>
      <xdr:rowOff>11880</xdr:rowOff>
    </xdr:to>
    <xdr:graphicFrame>
      <xdr:nvGraphicFramePr>
        <xdr:cNvPr id="0" name="Chart 1"/>
        <xdr:cNvGraphicFramePr/>
      </xdr:nvGraphicFramePr>
      <xdr:xfrm>
        <a:off x="0" y="2800440"/>
        <a:ext cx="683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31</xdr:row>
      <xdr:rowOff>0</xdr:rowOff>
    </xdr:from>
    <xdr:to>
      <xdr:col>6</xdr:col>
      <xdr:colOff>73080</xdr:colOff>
      <xdr:row>47</xdr:row>
      <xdr:rowOff>11880</xdr:rowOff>
    </xdr:to>
    <xdr:graphicFrame>
      <xdr:nvGraphicFramePr>
        <xdr:cNvPr id="1" name="Chart 2"/>
        <xdr:cNvGraphicFramePr/>
      </xdr:nvGraphicFramePr>
      <xdr:xfrm>
        <a:off x="0" y="6229440"/>
        <a:ext cx="683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0</xdr:rowOff>
    </xdr:from>
    <xdr:to>
      <xdr:col>6</xdr:col>
      <xdr:colOff>236880</xdr:colOff>
      <xdr:row>35</xdr:row>
      <xdr:rowOff>170640</xdr:rowOff>
    </xdr:to>
    <xdr:graphicFrame>
      <xdr:nvGraphicFramePr>
        <xdr:cNvPr id="2" name="Chart 1"/>
        <xdr:cNvGraphicFramePr/>
      </xdr:nvGraphicFramePr>
      <xdr:xfrm>
        <a:off x="0" y="337176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OEE_Diario_Table" displayName="OEE_Diario_Table" ref="A5:S455" headerRowCount="1" totalsRowCount="0" totalsRowShown="0">
  <autoFilter ref="A5:S455"/>
  <tableColumns count="19">
    <tableColumn id="1" name="Fecha"/>
    <tableColumn id="2" name="Mes_Num"/>
    <tableColumn id="3" name="Estacion_ID"/>
    <tableColumn id="4" name="Estacion"/>
    <tableColumn id="5" name="Tiempo_Turno_h"/>
    <tableColumn id="6" name="Parada_Planificada_h"/>
    <tableColumn id="7" name="Tiempo_Planificado_h"/>
    <tableColumn id="8" name="Parada_No_Planificada_h"/>
    <tableColumn id="9" name="Tiempo_Operativo_h"/>
    <tableColumn id="10" name="Causa_Parada_No_Planificada"/>
    <tableColumn id="11" name="Capacidad_Nominal_bidones_h"/>
    <tableColumn id="12" name="Produccion_Teorica_bidones"/>
    <tableColumn id="13" name="Bidones_Procesados"/>
    <tableColumn id="14" name="Bidones_Conformes"/>
    <tableColumn id="15" name="Bidones_No_Conformes"/>
    <tableColumn id="16" name="Disponibilidad_pct"/>
    <tableColumn id="17" name="Rendimiento_pct"/>
    <tableColumn id="18" name="Calidad_pct"/>
    <tableColumn id="19" name="OEE_pc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2"/>
    <col collapsed="false" customWidth="true" hidden="false" outlineLevel="0" max="4" min="4" style="0" width="30"/>
    <col collapsed="false" customWidth="true" hidden="false" outlineLevel="0" max="5" min="5" style="0" width="15"/>
    <col collapsed="false" customWidth="true" hidden="false" outlineLevel="0" max="7" min="6" style="0" width="20"/>
    <col collapsed="false" customWidth="true" hidden="false" outlineLevel="0" max="8" min="8" style="0" width="22"/>
    <col collapsed="false" customWidth="true" hidden="false" outlineLevel="0" max="9" min="9" style="0" width="18"/>
    <col collapsed="false" customWidth="true" hidden="false" outlineLevel="0" max="10" min="10" style="0" width="38"/>
    <col collapsed="false" customWidth="true" hidden="false" outlineLevel="0" max="11" min="11" style="0" width="25"/>
    <col collapsed="false" customWidth="true" hidden="false" outlineLevel="0" max="12" min="12" style="0" width="24"/>
    <col collapsed="false" customWidth="true" hidden="false" outlineLevel="0" max="14" min="13" style="0" width="18"/>
    <col collapsed="false" customWidth="true" hidden="false" outlineLevel="0" max="15" min="15" style="0" width="20"/>
    <col collapsed="false" customWidth="true" hidden="false" outlineLevel="0" max="16" min="16" style="0" width="17"/>
    <col collapsed="false" customWidth="true" hidden="false" outlineLevel="0" max="17" min="17" style="0" width="16"/>
    <col collapsed="false" customWidth="true" hidden="false" outlineLevel="0" max="18" min="18" style="0" width="13"/>
    <col collapsed="false" customWidth="true" hidden="false" outlineLevel="0" max="19" min="19" style="0" width="11"/>
  </cols>
  <sheetData>
    <row r="1" customFormat="false" ht="25.5" hidden="false" customHeight="true" outlineLevel="0" collapsed="false">
      <c r="A1" s="1" t="s">
        <v>0</v>
      </c>
      <c r="B1" s="1"/>
      <c r="C1" s="1"/>
      <c r="D1" s="1"/>
      <c r="E1" s="1"/>
      <c r="F1" s="1"/>
      <c r="G1" s="1"/>
      <c r="H1" s="1"/>
      <c r="I1" s="1"/>
      <c r="J1" s="1"/>
      <c r="K1" s="1"/>
      <c r="L1" s="1"/>
      <c r="M1" s="1"/>
      <c r="N1" s="1"/>
      <c r="O1" s="1"/>
      <c r="P1" s="1"/>
      <c r="Q1" s="1"/>
      <c r="R1" s="1"/>
      <c r="S1" s="1"/>
    </row>
    <row r="2" customFormat="false" ht="15" hidden="false" customHeight="false" outlineLevel="0" collapsed="false">
      <c r="A2" s="2" t="s">
        <v>1</v>
      </c>
      <c r="B2" s="2"/>
      <c r="C2" s="2"/>
      <c r="D2" s="2"/>
      <c r="E2" s="2"/>
      <c r="F2" s="2"/>
      <c r="G2" s="2"/>
      <c r="H2" s="2"/>
      <c r="I2" s="2"/>
      <c r="J2" s="2"/>
      <c r="K2" s="2"/>
      <c r="L2" s="2"/>
      <c r="M2" s="2"/>
      <c r="N2" s="2"/>
      <c r="O2" s="2"/>
      <c r="P2" s="2"/>
      <c r="Q2" s="2"/>
      <c r="R2" s="2"/>
      <c r="S2" s="2"/>
    </row>
    <row r="3" customFormat="false" ht="15" hidden="false" customHeight="false" outlineLevel="0" collapsed="false">
      <c r="A3" s="2" t="s">
        <v>2</v>
      </c>
      <c r="B3" s="2"/>
      <c r="C3" s="2"/>
      <c r="D3" s="2"/>
      <c r="E3" s="2"/>
      <c r="F3" s="2"/>
      <c r="G3" s="2"/>
      <c r="H3" s="2"/>
      <c r="I3" s="2"/>
      <c r="J3" s="2"/>
      <c r="K3" s="2"/>
      <c r="L3" s="2"/>
      <c r="M3" s="2"/>
      <c r="N3" s="2"/>
      <c r="O3" s="2"/>
      <c r="P3" s="2"/>
      <c r="Q3" s="2"/>
      <c r="R3" s="2"/>
      <c r="S3" s="2"/>
    </row>
    <row r="5" customFormat="false" ht="30" hidden="false" customHeight="true" outlineLevel="0" collapsed="false">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row>
    <row r="6" customFormat="false" ht="15" hidden="false" customHeight="false" outlineLevel="0" collapsed="false">
      <c r="A6" s="4" t="n">
        <v>46024</v>
      </c>
      <c r="B6" s="5" t="n">
        <f aca="false">MONTH($A6)</f>
        <v>1</v>
      </c>
      <c r="C6" s="5" t="n">
        <v>1</v>
      </c>
      <c r="D6" s="6" t="str">
        <f aca="false">INDEX(Parametros!$B$16:$B$18,MATCH($C6,Parametros!$A$16:$A$18,0))</f>
        <v>E1 - Lavado y sanitizado de bidones</v>
      </c>
      <c r="E6" s="7" t="n">
        <f aca="false">IF(WEEKDAY($A6,2)&lt;6,Parametros!$B$21,Parametros!$B$22)</f>
        <v>6</v>
      </c>
      <c r="F6" s="7" t="n">
        <v>0.5</v>
      </c>
      <c r="G6" s="7" t="n">
        <f aca="false">E6-F6</f>
        <v>5.5</v>
      </c>
      <c r="H6" s="7" t="n">
        <v>0.75</v>
      </c>
      <c r="I6" s="7" t="n">
        <f aca="false">G6-H6</f>
        <v>4.75</v>
      </c>
      <c r="J6" s="6" t="s">
        <v>22</v>
      </c>
      <c r="K6" s="5" t="n">
        <f aca="false">INDEX(Parametros!$C$16:$C$18,MATCH($C6,Parametros!$A$16:$A$18,0))</f>
        <v>100</v>
      </c>
      <c r="L6" s="5" t="n">
        <f aca="false">I6*K6</f>
        <v>475</v>
      </c>
      <c r="M6" s="5" t="n">
        <v>360</v>
      </c>
      <c r="N6" s="5" t="n">
        <v>354</v>
      </c>
      <c r="O6" s="5" t="n">
        <f aca="false">M6-N6</f>
        <v>6</v>
      </c>
      <c r="P6" s="8" t="n">
        <f aca="false">IFERROR(I6/G6,0)</f>
        <v>0.863636363636364</v>
      </c>
      <c r="Q6" s="8" t="n">
        <f aca="false">IFERROR(M6/L6,0)</f>
        <v>0.757894736842105</v>
      </c>
      <c r="R6" s="8" t="n">
        <f aca="false">IFERROR(N6/M6,0)</f>
        <v>0.983333333333333</v>
      </c>
      <c r="S6" s="8" t="n">
        <f aca="false">P6*Q6*R6</f>
        <v>0.643636363636364</v>
      </c>
    </row>
    <row r="7" customFormat="false" ht="15" hidden="false" customHeight="false" outlineLevel="0" collapsed="false">
      <c r="A7" s="4" t="n">
        <v>46024</v>
      </c>
      <c r="B7" s="5" t="n">
        <f aca="false">MONTH($A7)</f>
        <v>1</v>
      </c>
      <c r="C7" s="5" t="n">
        <v>2</v>
      </c>
      <c r="D7" s="6" t="str">
        <f aca="false">INDEX(Parametros!$B$16:$B$18,MATCH($C7,Parametros!$A$16:$A$18,0))</f>
        <v>E2 - Llenado y tapado</v>
      </c>
      <c r="E7" s="7" t="n">
        <f aca="false">IF(WEEKDAY($A7,2)&lt;6,Parametros!$B$21,Parametros!$B$22)</f>
        <v>6</v>
      </c>
      <c r="F7" s="7" t="n">
        <v>0.75</v>
      </c>
      <c r="G7" s="7" t="n">
        <f aca="false">E7-F7</f>
        <v>5.25</v>
      </c>
      <c r="H7" s="7" t="n">
        <v>0.25</v>
      </c>
      <c r="I7" s="7" t="n">
        <f aca="false">G7-H7</f>
        <v>5</v>
      </c>
      <c r="J7" s="6" t="s">
        <v>23</v>
      </c>
      <c r="K7" s="5" t="n">
        <f aca="false">INDEX(Parametros!$C$16:$C$18,MATCH($C7,Parametros!$A$16:$A$18,0))</f>
        <v>95</v>
      </c>
      <c r="L7" s="5" t="n">
        <f aca="false">I7*K7</f>
        <v>475</v>
      </c>
      <c r="M7" s="5" t="n">
        <v>354</v>
      </c>
      <c r="N7" s="5" t="n">
        <v>350</v>
      </c>
      <c r="O7" s="5" t="n">
        <f aca="false">M7-N7</f>
        <v>4</v>
      </c>
      <c r="P7" s="8" t="n">
        <f aca="false">IFERROR(I7/G7,0)</f>
        <v>0.952380952380952</v>
      </c>
      <c r="Q7" s="8" t="n">
        <f aca="false">IFERROR(M7/L7,0)</f>
        <v>0.745263157894737</v>
      </c>
      <c r="R7" s="8" t="n">
        <f aca="false">IFERROR(N7/M7,0)</f>
        <v>0.988700564971751</v>
      </c>
      <c r="S7" s="8" t="n">
        <f aca="false">P7*Q7*R7</f>
        <v>0.701754385964912</v>
      </c>
    </row>
    <row r="8" customFormat="false" ht="15" hidden="false" customHeight="false" outlineLevel="0" collapsed="false">
      <c r="A8" s="4" t="n">
        <v>46024</v>
      </c>
      <c r="B8" s="5" t="n">
        <f aca="false">MONTH($A8)</f>
        <v>1</v>
      </c>
      <c r="C8" s="5" t="n">
        <v>3</v>
      </c>
      <c r="D8" s="6" t="str">
        <f aca="false">INDEX(Parametros!$B$16:$B$18,MATCH($C8,Parametros!$A$16:$A$18,0))</f>
        <v>E3 - Sellado y etiquetado</v>
      </c>
      <c r="E8" s="7" t="n">
        <f aca="false">IF(WEEKDAY($A8,2)&lt;6,Parametros!$B$21,Parametros!$B$22)</f>
        <v>6</v>
      </c>
      <c r="F8" s="7" t="n">
        <v>0.25</v>
      </c>
      <c r="G8" s="7" t="n">
        <f aca="false">E8-F8</f>
        <v>5.75</v>
      </c>
      <c r="H8" s="7" t="n">
        <v>0.25</v>
      </c>
      <c r="I8" s="7" t="n">
        <f aca="false">G8-H8</f>
        <v>5.5</v>
      </c>
      <c r="J8" s="6" t="s">
        <v>23</v>
      </c>
      <c r="K8" s="5" t="n">
        <f aca="false">INDEX(Parametros!$C$16:$C$18,MATCH($C8,Parametros!$A$16:$A$18,0))</f>
        <v>95</v>
      </c>
      <c r="L8" s="5" t="n">
        <f aca="false">I8*K8</f>
        <v>522.5</v>
      </c>
      <c r="M8" s="5" t="n">
        <v>350</v>
      </c>
      <c r="N8" s="5" t="n">
        <v>347</v>
      </c>
      <c r="O8" s="5" t="n">
        <f aca="false">M8-N8</f>
        <v>3</v>
      </c>
      <c r="P8" s="8" t="n">
        <f aca="false">IFERROR(I8/G8,0)</f>
        <v>0.956521739130435</v>
      </c>
      <c r="Q8" s="8" t="n">
        <f aca="false">IFERROR(M8/L8,0)</f>
        <v>0.669856459330144</v>
      </c>
      <c r="R8" s="8" t="n">
        <f aca="false">IFERROR(N8/M8,0)</f>
        <v>0.991428571428571</v>
      </c>
      <c r="S8" s="8" t="n">
        <f aca="false">P8*Q8*R8</f>
        <v>0.635240274599542</v>
      </c>
    </row>
    <row r="9" customFormat="false" ht="15" hidden="false" customHeight="false" outlineLevel="0" collapsed="false">
      <c r="A9" s="4" t="n">
        <v>46025</v>
      </c>
      <c r="B9" s="5" t="n">
        <f aca="false">MONTH($A9)</f>
        <v>1</v>
      </c>
      <c r="C9" s="5" t="n">
        <v>1</v>
      </c>
      <c r="D9" s="6" t="str">
        <f aca="false">INDEX(Parametros!$B$16:$B$18,MATCH($C9,Parametros!$A$16:$A$18,0))</f>
        <v>E1 - Lavado y sanitizado de bidones</v>
      </c>
      <c r="E9" s="7" t="n">
        <f aca="false">IF(WEEKDAY($A9,2)&lt;6,Parametros!$B$21,Parametros!$B$22)</f>
        <v>4</v>
      </c>
      <c r="F9" s="7" t="n">
        <v>0.75</v>
      </c>
      <c r="G9" s="7" t="n">
        <f aca="false">E9-F9</f>
        <v>3.25</v>
      </c>
      <c r="H9" s="7" t="n">
        <v>0.25</v>
      </c>
      <c r="I9" s="7" t="n">
        <f aca="false">G9-H9</f>
        <v>3</v>
      </c>
      <c r="J9" s="6" t="s">
        <v>24</v>
      </c>
      <c r="K9" s="5" t="n">
        <f aca="false">INDEX(Parametros!$C$16:$C$18,MATCH($C9,Parametros!$A$16:$A$18,0))</f>
        <v>100</v>
      </c>
      <c r="L9" s="5" t="n">
        <f aca="false">I9*K9</f>
        <v>300</v>
      </c>
      <c r="M9" s="5" t="n">
        <v>150</v>
      </c>
      <c r="N9" s="5" t="n">
        <v>148</v>
      </c>
      <c r="O9" s="5" t="n">
        <f aca="false">M9-N9</f>
        <v>2</v>
      </c>
      <c r="P9" s="8" t="n">
        <f aca="false">IFERROR(I9/G9,0)</f>
        <v>0.923076923076923</v>
      </c>
      <c r="Q9" s="8" t="n">
        <f aca="false">IFERROR(M9/L9,0)</f>
        <v>0.5</v>
      </c>
      <c r="R9" s="8" t="n">
        <f aca="false">IFERROR(N9/M9,0)</f>
        <v>0.986666666666667</v>
      </c>
      <c r="S9" s="8" t="n">
        <f aca="false">P9*Q9*R9</f>
        <v>0.455384615384615</v>
      </c>
    </row>
    <row r="10" customFormat="false" ht="15" hidden="false" customHeight="false" outlineLevel="0" collapsed="false">
      <c r="A10" s="4" t="n">
        <v>46025</v>
      </c>
      <c r="B10" s="5" t="n">
        <f aca="false">MONTH($A10)</f>
        <v>1</v>
      </c>
      <c r="C10" s="5" t="n">
        <v>2</v>
      </c>
      <c r="D10" s="6" t="str">
        <f aca="false">INDEX(Parametros!$B$16:$B$18,MATCH($C10,Parametros!$A$16:$A$18,0))</f>
        <v>E2 - Llenado y tapado</v>
      </c>
      <c r="E10" s="7" t="n">
        <f aca="false">IF(WEEKDAY($A10,2)&lt;6,Parametros!$B$21,Parametros!$B$22)</f>
        <v>4</v>
      </c>
      <c r="F10" s="7" t="n">
        <v>1.25</v>
      </c>
      <c r="G10" s="7" t="n">
        <f aca="false">E10-F10</f>
        <v>2.75</v>
      </c>
      <c r="H10" s="7" t="n">
        <v>1</v>
      </c>
      <c r="I10" s="7" t="n">
        <f aca="false">G10-H10</f>
        <v>1.75</v>
      </c>
      <c r="J10" s="6" t="s">
        <v>23</v>
      </c>
      <c r="K10" s="5" t="n">
        <f aca="false">INDEX(Parametros!$C$16:$C$18,MATCH($C10,Parametros!$A$16:$A$18,0))</f>
        <v>95</v>
      </c>
      <c r="L10" s="5" t="n">
        <f aca="false">I10*K10</f>
        <v>166.25</v>
      </c>
      <c r="M10" s="5" t="n">
        <v>148</v>
      </c>
      <c r="N10" s="5" t="n">
        <v>144</v>
      </c>
      <c r="O10" s="5" t="n">
        <f aca="false">M10-N10</f>
        <v>4</v>
      </c>
      <c r="P10" s="8" t="n">
        <f aca="false">IFERROR(I10/G10,0)</f>
        <v>0.636363636363636</v>
      </c>
      <c r="Q10" s="8" t="n">
        <f aca="false">IFERROR(M10/L10,0)</f>
        <v>0.890225563909775</v>
      </c>
      <c r="R10" s="8" t="n">
        <f aca="false">IFERROR(N10/M10,0)</f>
        <v>0.972972972972973</v>
      </c>
      <c r="S10" s="8" t="n">
        <f aca="false">P10*Q10*R10</f>
        <v>0.551196172248804</v>
      </c>
    </row>
    <row r="11" customFormat="false" ht="15" hidden="false" customHeight="false" outlineLevel="0" collapsed="false">
      <c r="A11" s="4" t="n">
        <v>46025</v>
      </c>
      <c r="B11" s="5" t="n">
        <f aca="false">MONTH($A11)</f>
        <v>1</v>
      </c>
      <c r="C11" s="5" t="n">
        <v>3</v>
      </c>
      <c r="D11" s="6" t="str">
        <f aca="false">INDEX(Parametros!$B$16:$B$18,MATCH($C11,Parametros!$A$16:$A$18,0))</f>
        <v>E3 - Sellado y etiquetado</v>
      </c>
      <c r="E11" s="7" t="n">
        <f aca="false">IF(WEEKDAY($A11,2)&lt;6,Parametros!$B$21,Parametros!$B$22)</f>
        <v>4</v>
      </c>
      <c r="F11" s="7" t="n">
        <v>0.75</v>
      </c>
      <c r="G11" s="7" t="n">
        <f aca="false">E11-F11</f>
        <v>3.25</v>
      </c>
      <c r="H11" s="7" t="n">
        <v>0.5</v>
      </c>
      <c r="I11" s="7" t="n">
        <f aca="false">G11-H11</f>
        <v>2.75</v>
      </c>
      <c r="J11" s="6" t="s">
        <v>25</v>
      </c>
      <c r="K11" s="5" t="n">
        <f aca="false">INDEX(Parametros!$C$16:$C$18,MATCH($C11,Parametros!$A$16:$A$18,0))</f>
        <v>95</v>
      </c>
      <c r="L11" s="5" t="n">
        <f aca="false">I11*K11</f>
        <v>261.25</v>
      </c>
      <c r="M11" s="5" t="n">
        <v>144</v>
      </c>
      <c r="N11" s="5" t="n">
        <v>142</v>
      </c>
      <c r="O11" s="5" t="n">
        <f aca="false">M11-N11</f>
        <v>2</v>
      </c>
      <c r="P11" s="8" t="n">
        <f aca="false">IFERROR(I11/G11,0)</f>
        <v>0.846153846153846</v>
      </c>
      <c r="Q11" s="8" t="n">
        <f aca="false">IFERROR(M11/L11,0)</f>
        <v>0.551196172248804</v>
      </c>
      <c r="R11" s="8" t="n">
        <f aca="false">IFERROR(N11/M11,0)</f>
        <v>0.986111111111111</v>
      </c>
      <c r="S11" s="8" t="n">
        <f aca="false">P11*Q11*R11</f>
        <v>0.459919028340081</v>
      </c>
    </row>
    <row r="12" customFormat="false" ht="15" hidden="false" customHeight="false" outlineLevel="0" collapsed="false">
      <c r="A12" s="4" t="n">
        <v>46027</v>
      </c>
      <c r="B12" s="5" t="n">
        <f aca="false">MONTH($A12)</f>
        <v>1</v>
      </c>
      <c r="C12" s="5" t="n">
        <v>1</v>
      </c>
      <c r="D12" s="6" t="str">
        <f aca="false">INDEX(Parametros!$B$16:$B$18,MATCH($C12,Parametros!$A$16:$A$18,0))</f>
        <v>E1 - Lavado y sanitizado de bidones</v>
      </c>
      <c r="E12" s="7" t="n">
        <f aca="false">IF(WEEKDAY($A12,2)&lt;6,Parametros!$B$21,Parametros!$B$22)</f>
        <v>6</v>
      </c>
      <c r="F12" s="7" t="n">
        <v>0.5</v>
      </c>
      <c r="G12" s="7" t="n">
        <f aca="false">E12-F12</f>
        <v>5.5</v>
      </c>
      <c r="H12" s="7" t="n">
        <v>0.75</v>
      </c>
      <c r="I12" s="7" t="n">
        <f aca="false">G12-H12</f>
        <v>4.75</v>
      </c>
      <c r="J12" s="6" t="s">
        <v>26</v>
      </c>
      <c r="K12" s="5" t="n">
        <f aca="false">INDEX(Parametros!$C$16:$C$18,MATCH($C12,Parametros!$A$16:$A$18,0))</f>
        <v>100</v>
      </c>
      <c r="L12" s="5" t="n">
        <f aca="false">I12*K12</f>
        <v>475</v>
      </c>
      <c r="M12" s="5" t="n">
        <v>391</v>
      </c>
      <c r="N12" s="5" t="n">
        <v>386</v>
      </c>
      <c r="O12" s="5" t="n">
        <f aca="false">M12-N12</f>
        <v>5</v>
      </c>
      <c r="P12" s="8" t="n">
        <f aca="false">IFERROR(I12/G12,0)</f>
        <v>0.863636363636364</v>
      </c>
      <c r="Q12" s="8" t="n">
        <f aca="false">IFERROR(M12/L12,0)</f>
        <v>0.823157894736842</v>
      </c>
      <c r="R12" s="8" t="n">
        <f aca="false">IFERROR(N12/M12,0)</f>
        <v>0.987212276214834</v>
      </c>
      <c r="S12" s="8" t="n">
        <f aca="false">P12*Q12*R12</f>
        <v>0.701818181818182</v>
      </c>
    </row>
    <row r="13" customFormat="false" ht="15" hidden="false" customHeight="false" outlineLevel="0" collapsed="false">
      <c r="A13" s="4" t="n">
        <v>46027</v>
      </c>
      <c r="B13" s="5" t="n">
        <f aca="false">MONTH($A13)</f>
        <v>1</v>
      </c>
      <c r="C13" s="5" t="n">
        <v>2</v>
      </c>
      <c r="D13" s="6" t="str">
        <f aca="false">INDEX(Parametros!$B$16:$B$18,MATCH($C13,Parametros!$A$16:$A$18,0))</f>
        <v>E2 - Llenado y tapado</v>
      </c>
      <c r="E13" s="7" t="n">
        <f aca="false">IF(WEEKDAY($A13,2)&lt;6,Parametros!$B$21,Parametros!$B$22)</f>
        <v>6</v>
      </c>
      <c r="F13" s="7" t="n">
        <v>0.75</v>
      </c>
      <c r="G13" s="7" t="n">
        <f aca="false">E13-F13</f>
        <v>5.25</v>
      </c>
      <c r="H13" s="7" t="n">
        <v>0</v>
      </c>
      <c r="I13" s="7" t="n">
        <f aca="false">G13-H13</f>
        <v>5.25</v>
      </c>
      <c r="J13" s="6" t="s">
        <v>27</v>
      </c>
      <c r="K13" s="5" t="n">
        <f aca="false">INDEX(Parametros!$C$16:$C$18,MATCH($C13,Parametros!$A$16:$A$18,0))</f>
        <v>95</v>
      </c>
      <c r="L13" s="5" t="n">
        <f aca="false">I13*K13</f>
        <v>498.75</v>
      </c>
      <c r="M13" s="5" t="n">
        <v>386</v>
      </c>
      <c r="N13" s="5" t="n">
        <v>376</v>
      </c>
      <c r="O13" s="5" t="n">
        <f aca="false">M13-N13</f>
        <v>10</v>
      </c>
      <c r="P13" s="8" t="n">
        <f aca="false">IFERROR(I13/G13,0)</f>
        <v>1</v>
      </c>
      <c r="Q13" s="8" t="n">
        <f aca="false">IFERROR(M13/L13,0)</f>
        <v>0.773934837092732</v>
      </c>
      <c r="R13" s="8" t="n">
        <f aca="false">IFERROR(N13/M13,0)</f>
        <v>0.974093264248705</v>
      </c>
      <c r="S13" s="8" t="n">
        <f aca="false">P13*Q13*R13</f>
        <v>0.753884711779449</v>
      </c>
    </row>
    <row r="14" customFormat="false" ht="15" hidden="false" customHeight="false" outlineLevel="0" collapsed="false">
      <c r="A14" s="4" t="n">
        <v>46027</v>
      </c>
      <c r="B14" s="5" t="n">
        <f aca="false">MONTH($A14)</f>
        <v>1</v>
      </c>
      <c r="C14" s="5" t="n">
        <v>3</v>
      </c>
      <c r="D14" s="6" t="str">
        <f aca="false">INDEX(Parametros!$B$16:$B$18,MATCH($C14,Parametros!$A$16:$A$18,0))</f>
        <v>E3 - Sellado y etiquetado</v>
      </c>
      <c r="E14" s="7" t="n">
        <f aca="false">IF(WEEKDAY($A14,2)&lt;6,Parametros!$B$21,Parametros!$B$22)</f>
        <v>6</v>
      </c>
      <c r="F14" s="7" t="n">
        <v>0.25</v>
      </c>
      <c r="G14" s="7" t="n">
        <f aca="false">E14-F14</f>
        <v>5.75</v>
      </c>
      <c r="H14" s="7" t="n">
        <v>0</v>
      </c>
      <c r="I14" s="7" t="n">
        <f aca="false">G14-H14</f>
        <v>5.75</v>
      </c>
      <c r="J14" s="6" t="s">
        <v>27</v>
      </c>
      <c r="K14" s="5" t="n">
        <f aca="false">INDEX(Parametros!$C$16:$C$18,MATCH($C14,Parametros!$A$16:$A$18,0))</f>
        <v>95</v>
      </c>
      <c r="L14" s="5" t="n">
        <f aca="false">I14*K14</f>
        <v>546.25</v>
      </c>
      <c r="M14" s="5" t="n">
        <v>376</v>
      </c>
      <c r="N14" s="5" t="n">
        <v>373</v>
      </c>
      <c r="O14" s="5" t="n">
        <f aca="false">M14-N14</f>
        <v>3</v>
      </c>
      <c r="P14" s="8" t="n">
        <f aca="false">IFERROR(I14/G14,0)</f>
        <v>1</v>
      </c>
      <c r="Q14" s="8" t="n">
        <f aca="false">IFERROR(M14/L14,0)</f>
        <v>0.688329519450801</v>
      </c>
      <c r="R14" s="8" t="n">
        <f aca="false">IFERROR(N14/M14,0)</f>
        <v>0.992021276595745</v>
      </c>
      <c r="S14" s="8" t="n">
        <f aca="false">P14*Q14*R14</f>
        <v>0.682837528604119</v>
      </c>
    </row>
    <row r="15" customFormat="false" ht="15" hidden="false" customHeight="false" outlineLevel="0" collapsed="false">
      <c r="A15" s="4" t="n">
        <v>46028</v>
      </c>
      <c r="B15" s="5" t="n">
        <f aca="false">MONTH($A15)</f>
        <v>1</v>
      </c>
      <c r="C15" s="5" t="n">
        <v>1</v>
      </c>
      <c r="D15" s="6" t="str">
        <f aca="false">INDEX(Parametros!$B$16:$B$18,MATCH($C15,Parametros!$A$16:$A$18,0))</f>
        <v>E1 - Lavado y sanitizado de bidones</v>
      </c>
      <c r="E15" s="7" t="n">
        <f aca="false">IF(WEEKDAY($A15,2)&lt;6,Parametros!$B$21,Parametros!$B$22)</f>
        <v>6</v>
      </c>
      <c r="F15" s="7" t="n">
        <v>0.5</v>
      </c>
      <c r="G15" s="7" t="n">
        <f aca="false">E15-F15</f>
        <v>5.5</v>
      </c>
      <c r="H15" s="7" t="n">
        <v>0</v>
      </c>
      <c r="I15" s="7" t="n">
        <f aca="false">G15-H15</f>
        <v>5.5</v>
      </c>
      <c r="J15" s="6" t="s">
        <v>27</v>
      </c>
      <c r="K15" s="5" t="n">
        <f aca="false">INDEX(Parametros!$C$16:$C$18,MATCH($C15,Parametros!$A$16:$A$18,0))</f>
        <v>100</v>
      </c>
      <c r="L15" s="5" t="n">
        <f aca="false">I15*K15</f>
        <v>550</v>
      </c>
      <c r="M15" s="5" t="n">
        <v>283</v>
      </c>
      <c r="N15" s="5" t="n">
        <v>281</v>
      </c>
      <c r="O15" s="5" t="n">
        <f aca="false">M15-N15</f>
        <v>2</v>
      </c>
      <c r="P15" s="8" t="n">
        <f aca="false">IFERROR(I15/G15,0)</f>
        <v>1</v>
      </c>
      <c r="Q15" s="8" t="n">
        <f aca="false">IFERROR(M15/L15,0)</f>
        <v>0.514545454545455</v>
      </c>
      <c r="R15" s="8" t="n">
        <f aca="false">IFERROR(N15/M15,0)</f>
        <v>0.992932862190813</v>
      </c>
      <c r="S15" s="8" t="n">
        <f aca="false">P15*Q15*R15</f>
        <v>0.510909090909091</v>
      </c>
    </row>
    <row r="16" customFormat="false" ht="15" hidden="false" customHeight="false" outlineLevel="0" collapsed="false">
      <c r="A16" s="4" t="n">
        <v>46028</v>
      </c>
      <c r="B16" s="5" t="n">
        <f aca="false">MONTH($A16)</f>
        <v>1</v>
      </c>
      <c r="C16" s="5" t="n">
        <v>2</v>
      </c>
      <c r="D16" s="6" t="str">
        <f aca="false">INDEX(Parametros!$B$16:$B$18,MATCH($C16,Parametros!$A$16:$A$18,0))</f>
        <v>E2 - Llenado y tapado</v>
      </c>
      <c r="E16" s="7" t="n">
        <f aca="false">IF(WEEKDAY($A16,2)&lt;6,Parametros!$B$21,Parametros!$B$22)</f>
        <v>6</v>
      </c>
      <c r="F16" s="7" t="n">
        <v>0.75</v>
      </c>
      <c r="G16" s="7" t="n">
        <f aca="false">E16-F16</f>
        <v>5.25</v>
      </c>
      <c r="H16" s="7" t="n">
        <v>1.25</v>
      </c>
      <c r="I16" s="7" t="n">
        <f aca="false">G16-H16</f>
        <v>4</v>
      </c>
      <c r="J16" s="6" t="s">
        <v>28</v>
      </c>
      <c r="K16" s="5" t="n">
        <f aca="false">INDEX(Parametros!$C$16:$C$18,MATCH($C16,Parametros!$A$16:$A$18,0))</f>
        <v>95</v>
      </c>
      <c r="L16" s="5" t="n">
        <f aca="false">I16*K16</f>
        <v>380</v>
      </c>
      <c r="M16" s="5" t="n">
        <v>281</v>
      </c>
      <c r="N16" s="5" t="n">
        <v>274</v>
      </c>
      <c r="O16" s="5" t="n">
        <f aca="false">M16-N16</f>
        <v>7</v>
      </c>
      <c r="P16" s="8" t="n">
        <f aca="false">IFERROR(I16/G16,0)</f>
        <v>0.761904761904762</v>
      </c>
      <c r="Q16" s="8" t="n">
        <f aca="false">IFERROR(M16/L16,0)</f>
        <v>0.739473684210526</v>
      </c>
      <c r="R16" s="8" t="n">
        <f aca="false">IFERROR(N16/M16,0)</f>
        <v>0.97508896797153</v>
      </c>
      <c r="S16" s="8" t="n">
        <f aca="false">P16*Q16*R16</f>
        <v>0.54937343358396</v>
      </c>
    </row>
    <row r="17" customFormat="false" ht="15" hidden="false" customHeight="false" outlineLevel="0" collapsed="false">
      <c r="A17" s="4" t="n">
        <v>46028</v>
      </c>
      <c r="B17" s="5" t="n">
        <f aca="false">MONTH($A17)</f>
        <v>1</v>
      </c>
      <c r="C17" s="5" t="n">
        <v>3</v>
      </c>
      <c r="D17" s="6" t="str">
        <f aca="false">INDEX(Parametros!$B$16:$B$18,MATCH($C17,Parametros!$A$16:$A$18,0))</f>
        <v>E3 - Sellado y etiquetado</v>
      </c>
      <c r="E17" s="7" t="n">
        <f aca="false">IF(WEEKDAY($A17,2)&lt;6,Parametros!$B$21,Parametros!$B$22)</f>
        <v>6</v>
      </c>
      <c r="F17" s="7" t="n">
        <v>0.25</v>
      </c>
      <c r="G17" s="7" t="n">
        <f aca="false">E17-F17</f>
        <v>5.75</v>
      </c>
      <c r="H17" s="7" t="n">
        <v>0</v>
      </c>
      <c r="I17" s="7" t="n">
        <f aca="false">G17-H17</f>
        <v>5.75</v>
      </c>
      <c r="J17" s="6" t="s">
        <v>27</v>
      </c>
      <c r="K17" s="5" t="n">
        <f aca="false">INDEX(Parametros!$C$16:$C$18,MATCH($C17,Parametros!$A$16:$A$18,0))</f>
        <v>95</v>
      </c>
      <c r="L17" s="5" t="n">
        <f aca="false">I17*K17</f>
        <v>546.25</v>
      </c>
      <c r="M17" s="5" t="n">
        <v>274</v>
      </c>
      <c r="N17" s="5" t="n">
        <v>272</v>
      </c>
      <c r="O17" s="5" t="n">
        <f aca="false">M17-N17</f>
        <v>2</v>
      </c>
      <c r="P17" s="8" t="n">
        <f aca="false">IFERROR(I17/G17,0)</f>
        <v>1</v>
      </c>
      <c r="Q17" s="8" t="n">
        <f aca="false">IFERROR(M17/L17,0)</f>
        <v>0.501601830663616</v>
      </c>
      <c r="R17" s="8" t="n">
        <f aca="false">IFERROR(N17/M17,0)</f>
        <v>0.992700729927007</v>
      </c>
      <c r="S17" s="8" t="n">
        <f aca="false">P17*Q17*R17</f>
        <v>0.497940503432494</v>
      </c>
    </row>
    <row r="18" customFormat="false" ht="15" hidden="false" customHeight="false" outlineLevel="0" collapsed="false">
      <c r="A18" s="4" t="n">
        <v>46029</v>
      </c>
      <c r="B18" s="5" t="n">
        <f aca="false">MONTH($A18)</f>
        <v>1</v>
      </c>
      <c r="C18" s="5" t="n">
        <v>1</v>
      </c>
      <c r="D18" s="6" t="str">
        <f aca="false">INDEX(Parametros!$B$16:$B$18,MATCH($C18,Parametros!$A$16:$A$18,0))</f>
        <v>E1 - Lavado y sanitizado de bidones</v>
      </c>
      <c r="E18" s="7" t="n">
        <f aca="false">IF(WEEKDAY($A18,2)&lt;6,Parametros!$B$21,Parametros!$B$22)</f>
        <v>6</v>
      </c>
      <c r="F18" s="7" t="n">
        <v>0.5</v>
      </c>
      <c r="G18" s="7" t="n">
        <f aca="false">E18-F18</f>
        <v>5.5</v>
      </c>
      <c r="H18" s="7" t="n">
        <v>1.5</v>
      </c>
      <c r="I18" s="7" t="n">
        <f aca="false">G18-H18</f>
        <v>4</v>
      </c>
      <c r="J18" s="6" t="s">
        <v>29</v>
      </c>
      <c r="K18" s="5" t="n">
        <f aca="false">INDEX(Parametros!$C$16:$C$18,MATCH($C18,Parametros!$A$16:$A$18,0))</f>
        <v>100</v>
      </c>
      <c r="L18" s="5" t="n">
        <f aca="false">I18*K18</f>
        <v>400</v>
      </c>
      <c r="M18" s="5" t="n">
        <v>243</v>
      </c>
      <c r="N18" s="5" t="n">
        <v>241</v>
      </c>
      <c r="O18" s="5" t="n">
        <f aca="false">M18-N18</f>
        <v>2</v>
      </c>
      <c r="P18" s="8" t="n">
        <f aca="false">IFERROR(I18/G18,0)</f>
        <v>0.727272727272727</v>
      </c>
      <c r="Q18" s="8" t="n">
        <f aca="false">IFERROR(M18/L18,0)</f>
        <v>0.6075</v>
      </c>
      <c r="R18" s="8" t="n">
        <f aca="false">IFERROR(N18/M18,0)</f>
        <v>0.991769547325103</v>
      </c>
      <c r="S18" s="8" t="n">
        <f aca="false">P18*Q18*R18</f>
        <v>0.438181818181818</v>
      </c>
    </row>
    <row r="19" customFormat="false" ht="15" hidden="false" customHeight="false" outlineLevel="0" collapsed="false">
      <c r="A19" s="4" t="n">
        <v>46029</v>
      </c>
      <c r="B19" s="5" t="n">
        <f aca="false">MONTH($A19)</f>
        <v>1</v>
      </c>
      <c r="C19" s="5" t="n">
        <v>2</v>
      </c>
      <c r="D19" s="6" t="str">
        <f aca="false">INDEX(Parametros!$B$16:$B$18,MATCH($C19,Parametros!$A$16:$A$18,0))</f>
        <v>E2 - Llenado y tapado</v>
      </c>
      <c r="E19" s="7" t="n">
        <f aca="false">IF(WEEKDAY($A19,2)&lt;6,Parametros!$B$21,Parametros!$B$22)</f>
        <v>6</v>
      </c>
      <c r="F19" s="7" t="n">
        <v>0.75</v>
      </c>
      <c r="G19" s="7" t="n">
        <f aca="false">E19-F19</f>
        <v>5.25</v>
      </c>
      <c r="H19" s="7" t="n">
        <v>2</v>
      </c>
      <c r="I19" s="7" t="n">
        <f aca="false">G19-H19</f>
        <v>3.25</v>
      </c>
      <c r="J19" s="6" t="s">
        <v>28</v>
      </c>
      <c r="K19" s="5" t="n">
        <f aca="false">INDEX(Parametros!$C$16:$C$18,MATCH($C19,Parametros!$A$16:$A$18,0))</f>
        <v>95</v>
      </c>
      <c r="L19" s="5" t="n">
        <f aca="false">I19*K19</f>
        <v>308.75</v>
      </c>
      <c r="M19" s="5" t="n">
        <v>241</v>
      </c>
      <c r="N19" s="5" t="n">
        <v>237</v>
      </c>
      <c r="O19" s="5" t="n">
        <f aca="false">M19-N19</f>
        <v>4</v>
      </c>
      <c r="P19" s="8" t="n">
        <f aca="false">IFERROR(I19/G19,0)</f>
        <v>0.619047619047619</v>
      </c>
      <c r="Q19" s="8" t="n">
        <f aca="false">IFERROR(M19/L19,0)</f>
        <v>0.780566801619433</v>
      </c>
      <c r="R19" s="8" t="n">
        <f aca="false">IFERROR(N19/M19,0)</f>
        <v>0.983402489626556</v>
      </c>
      <c r="S19" s="8" t="n">
        <f aca="false">P19*Q19*R19</f>
        <v>0.475187969924812</v>
      </c>
    </row>
    <row r="20" customFormat="false" ht="15" hidden="false" customHeight="false" outlineLevel="0" collapsed="false">
      <c r="A20" s="4" t="n">
        <v>46029</v>
      </c>
      <c r="B20" s="5" t="n">
        <f aca="false">MONTH($A20)</f>
        <v>1</v>
      </c>
      <c r="C20" s="5" t="n">
        <v>3</v>
      </c>
      <c r="D20" s="6" t="str">
        <f aca="false">INDEX(Parametros!$B$16:$B$18,MATCH($C20,Parametros!$A$16:$A$18,0))</f>
        <v>E3 - Sellado y etiquetado</v>
      </c>
      <c r="E20" s="7" t="n">
        <f aca="false">IF(WEEKDAY($A20,2)&lt;6,Parametros!$B$21,Parametros!$B$22)</f>
        <v>6</v>
      </c>
      <c r="F20" s="7" t="n">
        <v>0.25</v>
      </c>
      <c r="G20" s="7" t="n">
        <f aca="false">E20-F20</f>
        <v>5.75</v>
      </c>
      <c r="H20" s="7" t="n">
        <v>1.75</v>
      </c>
      <c r="I20" s="7" t="n">
        <f aca="false">G20-H20</f>
        <v>4</v>
      </c>
      <c r="J20" s="6" t="s">
        <v>25</v>
      </c>
      <c r="K20" s="5" t="n">
        <f aca="false">INDEX(Parametros!$C$16:$C$18,MATCH($C20,Parametros!$A$16:$A$18,0))</f>
        <v>95</v>
      </c>
      <c r="L20" s="5" t="n">
        <f aca="false">I20*K20</f>
        <v>380</v>
      </c>
      <c r="M20" s="5" t="n">
        <v>237</v>
      </c>
      <c r="N20" s="5" t="n">
        <v>235</v>
      </c>
      <c r="O20" s="5" t="n">
        <f aca="false">M20-N20</f>
        <v>2</v>
      </c>
      <c r="P20" s="8" t="n">
        <f aca="false">IFERROR(I20/G20,0)</f>
        <v>0.695652173913044</v>
      </c>
      <c r="Q20" s="8" t="n">
        <f aca="false">IFERROR(M20/L20,0)</f>
        <v>0.623684210526316</v>
      </c>
      <c r="R20" s="8" t="n">
        <f aca="false">IFERROR(N20/M20,0)</f>
        <v>0.991561181434599</v>
      </c>
      <c r="S20" s="8" t="n">
        <f aca="false">P20*Q20*R20</f>
        <v>0.430205949656751</v>
      </c>
    </row>
    <row r="21" customFormat="false" ht="15" hidden="false" customHeight="false" outlineLevel="0" collapsed="false">
      <c r="A21" s="4" t="n">
        <v>46030</v>
      </c>
      <c r="B21" s="5" t="n">
        <f aca="false">MONTH($A21)</f>
        <v>1</v>
      </c>
      <c r="C21" s="5" t="n">
        <v>1</v>
      </c>
      <c r="D21" s="6" t="str">
        <f aca="false">INDEX(Parametros!$B$16:$B$18,MATCH($C21,Parametros!$A$16:$A$18,0))</f>
        <v>E1 - Lavado y sanitizado de bidones</v>
      </c>
      <c r="E21" s="7" t="n">
        <f aca="false">IF(WEEKDAY($A21,2)&lt;6,Parametros!$B$21,Parametros!$B$22)</f>
        <v>6</v>
      </c>
      <c r="F21" s="7" t="n">
        <v>0.5</v>
      </c>
      <c r="G21" s="7" t="n">
        <f aca="false">E21-F21</f>
        <v>5.5</v>
      </c>
      <c r="H21" s="7" t="n">
        <v>0.75</v>
      </c>
      <c r="I21" s="7" t="n">
        <f aca="false">G21-H21</f>
        <v>4.75</v>
      </c>
      <c r="J21" s="6" t="s">
        <v>30</v>
      </c>
      <c r="K21" s="5" t="n">
        <f aca="false">INDEX(Parametros!$C$16:$C$18,MATCH($C21,Parametros!$A$16:$A$18,0))</f>
        <v>100</v>
      </c>
      <c r="L21" s="5" t="n">
        <f aca="false">I21*K21</f>
        <v>475</v>
      </c>
      <c r="M21" s="5" t="n">
        <v>327</v>
      </c>
      <c r="N21" s="5" t="n">
        <v>320</v>
      </c>
      <c r="O21" s="5" t="n">
        <f aca="false">M21-N21</f>
        <v>7</v>
      </c>
      <c r="P21" s="8" t="n">
        <f aca="false">IFERROR(I21/G21,0)</f>
        <v>0.863636363636364</v>
      </c>
      <c r="Q21" s="8" t="n">
        <f aca="false">IFERROR(M21/L21,0)</f>
        <v>0.688421052631579</v>
      </c>
      <c r="R21" s="8" t="n">
        <f aca="false">IFERROR(N21/M21,0)</f>
        <v>0.978593272171254</v>
      </c>
      <c r="S21" s="8" t="n">
        <f aca="false">P21*Q21*R21</f>
        <v>0.581818181818182</v>
      </c>
    </row>
    <row r="22" customFormat="false" ht="15" hidden="false" customHeight="false" outlineLevel="0" collapsed="false">
      <c r="A22" s="4" t="n">
        <v>46030</v>
      </c>
      <c r="B22" s="5" t="n">
        <f aca="false">MONTH($A22)</f>
        <v>1</v>
      </c>
      <c r="C22" s="5" t="n">
        <v>2</v>
      </c>
      <c r="D22" s="6" t="str">
        <f aca="false">INDEX(Parametros!$B$16:$B$18,MATCH($C22,Parametros!$A$16:$A$18,0))</f>
        <v>E2 - Llenado y tapado</v>
      </c>
      <c r="E22" s="7" t="n">
        <f aca="false">IF(WEEKDAY($A22,2)&lt;6,Parametros!$B$21,Parametros!$B$22)</f>
        <v>6</v>
      </c>
      <c r="F22" s="7" t="n">
        <v>1</v>
      </c>
      <c r="G22" s="7" t="n">
        <f aca="false">E22-F22</f>
        <v>5</v>
      </c>
      <c r="H22" s="7" t="n">
        <v>0</v>
      </c>
      <c r="I22" s="7" t="n">
        <f aca="false">G22-H22</f>
        <v>5</v>
      </c>
      <c r="J22" s="6" t="s">
        <v>27</v>
      </c>
      <c r="K22" s="5" t="n">
        <f aca="false">INDEX(Parametros!$C$16:$C$18,MATCH($C22,Parametros!$A$16:$A$18,0))</f>
        <v>95</v>
      </c>
      <c r="L22" s="5" t="n">
        <f aca="false">I22*K22</f>
        <v>475</v>
      </c>
      <c r="M22" s="5" t="n">
        <v>320</v>
      </c>
      <c r="N22" s="5" t="n">
        <v>313</v>
      </c>
      <c r="O22" s="5" t="n">
        <f aca="false">M22-N22</f>
        <v>7</v>
      </c>
      <c r="P22" s="8" t="n">
        <f aca="false">IFERROR(I22/G22,0)</f>
        <v>1</v>
      </c>
      <c r="Q22" s="8" t="n">
        <f aca="false">IFERROR(M22/L22,0)</f>
        <v>0.673684210526316</v>
      </c>
      <c r="R22" s="8" t="n">
        <f aca="false">IFERROR(N22/M22,0)</f>
        <v>0.978125</v>
      </c>
      <c r="S22" s="8" t="n">
        <f aca="false">P22*Q22*R22</f>
        <v>0.658947368421053</v>
      </c>
    </row>
    <row r="23" customFormat="false" ht="15" hidden="false" customHeight="false" outlineLevel="0" collapsed="false">
      <c r="A23" s="4" t="n">
        <v>46030</v>
      </c>
      <c r="B23" s="5" t="n">
        <f aca="false">MONTH($A23)</f>
        <v>1</v>
      </c>
      <c r="C23" s="5" t="n">
        <v>3</v>
      </c>
      <c r="D23" s="6" t="str">
        <f aca="false">INDEX(Parametros!$B$16:$B$18,MATCH($C23,Parametros!$A$16:$A$18,0))</f>
        <v>E3 - Sellado y etiquetado</v>
      </c>
      <c r="E23" s="7" t="n">
        <f aca="false">IF(WEEKDAY($A23,2)&lt;6,Parametros!$B$21,Parametros!$B$22)</f>
        <v>6</v>
      </c>
      <c r="F23" s="7" t="n">
        <v>0.25</v>
      </c>
      <c r="G23" s="7" t="n">
        <f aca="false">E23-F23</f>
        <v>5.75</v>
      </c>
      <c r="H23" s="7" t="n">
        <v>0.5</v>
      </c>
      <c r="I23" s="7" t="n">
        <f aca="false">G23-H23</f>
        <v>5.25</v>
      </c>
      <c r="J23" s="6" t="s">
        <v>30</v>
      </c>
      <c r="K23" s="5" t="n">
        <f aca="false">INDEX(Parametros!$C$16:$C$18,MATCH($C23,Parametros!$A$16:$A$18,0))</f>
        <v>95</v>
      </c>
      <c r="L23" s="5" t="n">
        <f aca="false">I23*K23</f>
        <v>498.75</v>
      </c>
      <c r="M23" s="5" t="n">
        <v>313</v>
      </c>
      <c r="N23" s="5" t="n">
        <v>310</v>
      </c>
      <c r="O23" s="5" t="n">
        <f aca="false">M23-N23</f>
        <v>3</v>
      </c>
      <c r="P23" s="8" t="n">
        <f aca="false">IFERROR(I23/G23,0)</f>
        <v>0.91304347826087</v>
      </c>
      <c r="Q23" s="8" t="n">
        <f aca="false">IFERROR(M23/L23,0)</f>
        <v>0.627568922305764</v>
      </c>
      <c r="R23" s="8" t="n">
        <f aca="false">IFERROR(N23/M23,0)</f>
        <v>0.990415335463259</v>
      </c>
      <c r="S23" s="8" t="n">
        <f aca="false">P23*Q23*R23</f>
        <v>0.567505720823799</v>
      </c>
    </row>
    <row r="24" customFormat="false" ht="15" hidden="false" customHeight="false" outlineLevel="0" collapsed="false">
      <c r="A24" s="4" t="n">
        <v>46031</v>
      </c>
      <c r="B24" s="5" t="n">
        <f aca="false">MONTH($A24)</f>
        <v>1</v>
      </c>
      <c r="C24" s="5" t="n">
        <v>1</v>
      </c>
      <c r="D24" s="6" t="str">
        <f aca="false">INDEX(Parametros!$B$16:$B$18,MATCH($C24,Parametros!$A$16:$A$18,0))</f>
        <v>E1 - Lavado y sanitizado de bidones</v>
      </c>
      <c r="E24" s="7" t="n">
        <f aca="false">IF(WEEKDAY($A24,2)&lt;6,Parametros!$B$21,Parametros!$B$22)</f>
        <v>6</v>
      </c>
      <c r="F24" s="7" t="n">
        <v>0.5</v>
      </c>
      <c r="G24" s="7" t="n">
        <f aca="false">E24-F24</f>
        <v>5.5</v>
      </c>
      <c r="H24" s="7" t="n">
        <v>0</v>
      </c>
      <c r="I24" s="7" t="n">
        <f aca="false">G24-H24</f>
        <v>5.5</v>
      </c>
      <c r="J24" s="6" t="s">
        <v>27</v>
      </c>
      <c r="K24" s="5" t="n">
        <f aca="false">INDEX(Parametros!$C$16:$C$18,MATCH($C24,Parametros!$A$16:$A$18,0))</f>
        <v>100</v>
      </c>
      <c r="L24" s="5" t="n">
        <f aca="false">I24*K24</f>
        <v>550</v>
      </c>
      <c r="M24" s="5" t="n">
        <v>378</v>
      </c>
      <c r="N24" s="5" t="n">
        <v>374</v>
      </c>
      <c r="O24" s="5" t="n">
        <f aca="false">M24-N24</f>
        <v>4</v>
      </c>
      <c r="P24" s="8" t="n">
        <f aca="false">IFERROR(I24/G24,0)</f>
        <v>1</v>
      </c>
      <c r="Q24" s="8" t="n">
        <f aca="false">IFERROR(M24/L24,0)</f>
        <v>0.687272727272727</v>
      </c>
      <c r="R24" s="8" t="n">
        <f aca="false">IFERROR(N24/M24,0)</f>
        <v>0.989417989417989</v>
      </c>
      <c r="S24" s="8" t="n">
        <f aca="false">P24*Q24*R24</f>
        <v>0.68</v>
      </c>
    </row>
    <row r="25" customFormat="false" ht="15" hidden="false" customHeight="false" outlineLevel="0" collapsed="false">
      <c r="A25" s="4" t="n">
        <v>46031</v>
      </c>
      <c r="B25" s="5" t="n">
        <f aca="false">MONTH($A25)</f>
        <v>1</v>
      </c>
      <c r="C25" s="5" t="n">
        <v>2</v>
      </c>
      <c r="D25" s="6" t="str">
        <f aca="false">INDEX(Parametros!$B$16:$B$18,MATCH($C25,Parametros!$A$16:$A$18,0))</f>
        <v>E2 - Llenado y tapado</v>
      </c>
      <c r="E25" s="7" t="n">
        <f aca="false">IF(WEEKDAY($A25,2)&lt;6,Parametros!$B$21,Parametros!$B$22)</f>
        <v>6</v>
      </c>
      <c r="F25" s="7" t="n">
        <v>0.75</v>
      </c>
      <c r="G25" s="7" t="n">
        <f aca="false">E25-F25</f>
        <v>5.25</v>
      </c>
      <c r="H25" s="7" t="n">
        <v>0.5</v>
      </c>
      <c r="I25" s="7" t="n">
        <f aca="false">G25-H25</f>
        <v>4.75</v>
      </c>
      <c r="J25" s="6" t="s">
        <v>26</v>
      </c>
      <c r="K25" s="5" t="n">
        <f aca="false">INDEX(Parametros!$C$16:$C$18,MATCH($C25,Parametros!$A$16:$A$18,0))</f>
        <v>95</v>
      </c>
      <c r="L25" s="5" t="n">
        <f aca="false">I25*K25</f>
        <v>451.25</v>
      </c>
      <c r="M25" s="5" t="n">
        <v>374</v>
      </c>
      <c r="N25" s="5" t="n">
        <v>367</v>
      </c>
      <c r="O25" s="5" t="n">
        <f aca="false">M25-N25</f>
        <v>7</v>
      </c>
      <c r="P25" s="8" t="n">
        <f aca="false">IFERROR(I25/G25,0)</f>
        <v>0.904761904761905</v>
      </c>
      <c r="Q25" s="8" t="n">
        <f aca="false">IFERROR(M25/L25,0)</f>
        <v>0.828808864265928</v>
      </c>
      <c r="R25" s="8" t="n">
        <f aca="false">IFERROR(N25/M25,0)</f>
        <v>0.981283422459893</v>
      </c>
      <c r="S25" s="8" t="n">
        <f aca="false">P25*Q25*R25</f>
        <v>0.735839598997494</v>
      </c>
    </row>
    <row r="26" customFormat="false" ht="15" hidden="false" customHeight="false" outlineLevel="0" collapsed="false">
      <c r="A26" s="4" t="n">
        <v>46031</v>
      </c>
      <c r="B26" s="5" t="n">
        <f aca="false">MONTH($A26)</f>
        <v>1</v>
      </c>
      <c r="C26" s="5" t="n">
        <v>3</v>
      </c>
      <c r="D26" s="6" t="str">
        <f aca="false">INDEX(Parametros!$B$16:$B$18,MATCH($C26,Parametros!$A$16:$A$18,0))</f>
        <v>E3 - Sellado y etiquetado</v>
      </c>
      <c r="E26" s="7" t="n">
        <f aca="false">IF(WEEKDAY($A26,2)&lt;6,Parametros!$B$21,Parametros!$B$22)</f>
        <v>6</v>
      </c>
      <c r="F26" s="7" t="n">
        <v>0.25</v>
      </c>
      <c r="G26" s="7" t="n">
        <f aca="false">E26-F26</f>
        <v>5.75</v>
      </c>
      <c r="H26" s="7" t="n">
        <v>0</v>
      </c>
      <c r="I26" s="7" t="n">
        <f aca="false">G26-H26</f>
        <v>5.75</v>
      </c>
      <c r="J26" s="6" t="s">
        <v>27</v>
      </c>
      <c r="K26" s="5" t="n">
        <f aca="false">INDEX(Parametros!$C$16:$C$18,MATCH($C26,Parametros!$A$16:$A$18,0))</f>
        <v>95</v>
      </c>
      <c r="L26" s="5" t="n">
        <f aca="false">I26*K26</f>
        <v>546.25</v>
      </c>
      <c r="M26" s="5" t="n">
        <v>367</v>
      </c>
      <c r="N26" s="5" t="n">
        <v>363</v>
      </c>
      <c r="O26" s="5" t="n">
        <f aca="false">M26-N26</f>
        <v>4</v>
      </c>
      <c r="P26" s="8" t="n">
        <f aca="false">IFERROR(I26/G26,0)</f>
        <v>1</v>
      </c>
      <c r="Q26" s="8" t="n">
        <f aca="false">IFERROR(M26/L26,0)</f>
        <v>0.671853546910755</v>
      </c>
      <c r="R26" s="8" t="n">
        <f aca="false">IFERROR(N26/M26,0)</f>
        <v>0.989100817438692</v>
      </c>
      <c r="S26" s="8" t="n">
        <f aca="false">P26*Q26*R26</f>
        <v>0.664530892448513</v>
      </c>
    </row>
    <row r="27" customFormat="false" ht="15" hidden="false" customHeight="false" outlineLevel="0" collapsed="false">
      <c r="A27" s="4" t="n">
        <v>46032</v>
      </c>
      <c r="B27" s="5" t="n">
        <f aca="false">MONTH($A27)</f>
        <v>1</v>
      </c>
      <c r="C27" s="5" t="n">
        <v>1</v>
      </c>
      <c r="D27" s="6" t="str">
        <f aca="false">INDEX(Parametros!$B$16:$B$18,MATCH($C27,Parametros!$A$16:$A$18,0))</f>
        <v>E1 - Lavado y sanitizado de bidones</v>
      </c>
      <c r="E27" s="7" t="n">
        <f aca="false">IF(WEEKDAY($A27,2)&lt;6,Parametros!$B$21,Parametros!$B$22)</f>
        <v>4</v>
      </c>
      <c r="F27" s="7" t="n">
        <v>0.75</v>
      </c>
      <c r="G27" s="7" t="n">
        <f aca="false">E27-F27</f>
        <v>3.25</v>
      </c>
      <c r="H27" s="7" t="n">
        <v>0</v>
      </c>
      <c r="I27" s="7" t="n">
        <f aca="false">G27-H27</f>
        <v>3.25</v>
      </c>
      <c r="J27" s="6" t="s">
        <v>27</v>
      </c>
      <c r="K27" s="5" t="n">
        <f aca="false">INDEX(Parametros!$C$16:$C$18,MATCH($C27,Parametros!$A$16:$A$18,0))</f>
        <v>100</v>
      </c>
      <c r="L27" s="5" t="n">
        <f aca="false">I27*K27</f>
        <v>325</v>
      </c>
      <c r="M27" s="5" t="n">
        <v>210</v>
      </c>
      <c r="N27" s="5" t="n">
        <v>208</v>
      </c>
      <c r="O27" s="5" t="n">
        <f aca="false">M27-N27</f>
        <v>2</v>
      </c>
      <c r="P27" s="8" t="n">
        <f aca="false">IFERROR(I27/G27,0)</f>
        <v>1</v>
      </c>
      <c r="Q27" s="8" t="n">
        <f aca="false">IFERROR(M27/L27,0)</f>
        <v>0.646153846153846</v>
      </c>
      <c r="R27" s="8" t="n">
        <f aca="false">IFERROR(N27/M27,0)</f>
        <v>0.990476190476191</v>
      </c>
      <c r="S27" s="8" t="n">
        <f aca="false">P27*Q27*R27</f>
        <v>0.64</v>
      </c>
    </row>
    <row r="28" customFormat="false" ht="15" hidden="false" customHeight="false" outlineLevel="0" collapsed="false">
      <c r="A28" s="4" t="n">
        <v>46032</v>
      </c>
      <c r="B28" s="5" t="n">
        <f aca="false">MONTH($A28)</f>
        <v>1</v>
      </c>
      <c r="C28" s="5" t="n">
        <v>2</v>
      </c>
      <c r="D28" s="6" t="str">
        <f aca="false">INDEX(Parametros!$B$16:$B$18,MATCH($C28,Parametros!$A$16:$A$18,0))</f>
        <v>E2 - Llenado y tapado</v>
      </c>
      <c r="E28" s="7" t="n">
        <f aca="false">IF(WEEKDAY($A28,2)&lt;6,Parametros!$B$21,Parametros!$B$22)</f>
        <v>4</v>
      </c>
      <c r="F28" s="7" t="n">
        <v>1</v>
      </c>
      <c r="G28" s="7" t="n">
        <f aca="false">E28-F28</f>
        <v>3</v>
      </c>
      <c r="H28" s="7" t="n">
        <v>0.5</v>
      </c>
      <c r="I28" s="7" t="n">
        <f aca="false">G28-H28</f>
        <v>2.5</v>
      </c>
      <c r="J28" s="6" t="s">
        <v>28</v>
      </c>
      <c r="K28" s="5" t="n">
        <f aca="false">INDEX(Parametros!$C$16:$C$18,MATCH($C28,Parametros!$A$16:$A$18,0))</f>
        <v>95</v>
      </c>
      <c r="L28" s="5" t="n">
        <f aca="false">I28*K28</f>
        <v>237.5</v>
      </c>
      <c r="M28" s="5" t="n">
        <v>208</v>
      </c>
      <c r="N28" s="5" t="n">
        <v>204</v>
      </c>
      <c r="O28" s="5" t="n">
        <f aca="false">M28-N28</f>
        <v>4</v>
      </c>
      <c r="P28" s="8" t="n">
        <f aca="false">IFERROR(I28/G28,0)</f>
        <v>0.833333333333333</v>
      </c>
      <c r="Q28" s="8" t="n">
        <f aca="false">IFERROR(M28/L28,0)</f>
        <v>0.875789473684211</v>
      </c>
      <c r="R28" s="8" t="n">
        <f aca="false">IFERROR(N28/M28,0)</f>
        <v>0.980769230769231</v>
      </c>
      <c r="S28" s="8" t="n">
        <f aca="false">P28*Q28*R28</f>
        <v>0.715789473684211</v>
      </c>
    </row>
    <row r="29" customFormat="false" ht="15" hidden="false" customHeight="false" outlineLevel="0" collapsed="false">
      <c r="A29" s="4" t="n">
        <v>46032</v>
      </c>
      <c r="B29" s="5" t="n">
        <f aca="false">MONTH($A29)</f>
        <v>1</v>
      </c>
      <c r="C29" s="5" t="n">
        <v>3</v>
      </c>
      <c r="D29" s="6" t="str">
        <f aca="false">INDEX(Parametros!$B$16:$B$18,MATCH($C29,Parametros!$A$16:$A$18,0))</f>
        <v>E3 - Sellado y etiquetado</v>
      </c>
      <c r="E29" s="7" t="n">
        <f aca="false">IF(WEEKDAY($A29,2)&lt;6,Parametros!$B$21,Parametros!$B$22)</f>
        <v>4</v>
      </c>
      <c r="F29" s="7" t="n">
        <v>0.5</v>
      </c>
      <c r="G29" s="7" t="n">
        <f aca="false">E29-F29</f>
        <v>3.5</v>
      </c>
      <c r="H29" s="7" t="n">
        <v>0.5</v>
      </c>
      <c r="I29" s="7" t="n">
        <f aca="false">G29-H29</f>
        <v>3</v>
      </c>
      <c r="J29" s="6" t="s">
        <v>23</v>
      </c>
      <c r="K29" s="5" t="n">
        <f aca="false">INDEX(Parametros!$C$16:$C$18,MATCH($C29,Parametros!$A$16:$A$18,0))</f>
        <v>95</v>
      </c>
      <c r="L29" s="5" t="n">
        <f aca="false">I29*K29</f>
        <v>285</v>
      </c>
      <c r="M29" s="5" t="n">
        <v>204</v>
      </c>
      <c r="N29" s="5" t="n">
        <v>201</v>
      </c>
      <c r="O29" s="5" t="n">
        <f aca="false">M29-N29</f>
        <v>3</v>
      </c>
      <c r="P29" s="8" t="n">
        <f aca="false">IFERROR(I29/G29,0)</f>
        <v>0.857142857142857</v>
      </c>
      <c r="Q29" s="8" t="n">
        <f aca="false">IFERROR(M29/L29,0)</f>
        <v>0.715789473684211</v>
      </c>
      <c r="R29" s="8" t="n">
        <f aca="false">IFERROR(N29/M29,0)</f>
        <v>0.985294117647059</v>
      </c>
      <c r="S29" s="8" t="n">
        <f aca="false">P29*Q29*R29</f>
        <v>0.604511278195489</v>
      </c>
    </row>
    <row r="30" customFormat="false" ht="15" hidden="false" customHeight="false" outlineLevel="0" collapsed="false">
      <c r="A30" s="4" t="n">
        <v>46034</v>
      </c>
      <c r="B30" s="5" t="n">
        <f aca="false">MONTH($A30)</f>
        <v>1</v>
      </c>
      <c r="C30" s="5" t="n">
        <v>1</v>
      </c>
      <c r="D30" s="6" t="str">
        <f aca="false">INDEX(Parametros!$B$16:$B$18,MATCH($C30,Parametros!$A$16:$A$18,0))</f>
        <v>E1 - Lavado y sanitizado de bidones</v>
      </c>
      <c r="E30" s="7" t="n">
        <f aca="false">IF(WEEKDAY($A30,2)&lt;6,Parametros!$B$21,Parametros!$B$22)</f>
        <v>6</v>
      </c>
      <c r="F30" s="7" t="n">
        <v>0.5</v>
      </c>
      <c r="G30" s="7" t="n">
        <f aca="false">E30-F30</f>
        <v>5.5</v>
      </c>
      <c r="H30" s="7" t="n">
        <v>0</v>
      </c>
      <c r="I30" s="7" t="n">
        <f aca="false">G30-H30</f>
        <v>5.5</v>
      </c>
      <c r="J30" s="6" t="s">
        <v>27</v>
      </c>
      <c r="K30" s="5" t="n">
        <f aca="false">INDEX(Parametros!$C$16:$C$18,MATCH($C30,Parametros!$A$16:$A$18,0))</f>
        <v>100</v>
      </c>
      <c r="L30" s="5" t="n">
        <f aca="false">I30*K30</f>
        <v>550</v>
      </c>
      <c r="M30" s="5" t="n">
        <v>406</v>
      </c>
      <c r="N30" s="5" t="n">
        <v>402</v>
      </c>
      <c r="O30" s="5" t="n">
        <f aca="false">M30-N30</f>
        <v>4</v>
      </c>
      <c r="P30" s="8" t="n">
        <f aca="false">IFERROR(I30/G30,0)</f>
        <v>1</v>
      </c>
      <c r="Q30" s="8" t="n">
        <f aca="false">IFERROR(M30/L30,0)</f>
        <v>0.738181818181818</v>
      </c>
      <c r="R30" s="8" t="n">
        <f aca="false">IFERROR(N30/M30,0)</f>
        <v>0.990147783251232</v>
      </c>
      <c r="S30" s="8" t="n">
        <f aca="false">P30*Q30*R30</f>
        <v>0.730909090909091</v>
      </c>
    </row>
    <row r="31" customFormat="false" ht="15" hidden="false" customHeight="false" outlineLevel="0" collapsed="false">
      <c r="A31" s="4" t="n">
        <v>46034</v>
      </c>
      <c r="B31" s="5" t="n">
        <f aca="false">MONTH($A31)</f>
        <v>1</v>
      </c>
      <c r="C31" s="5" t="n">
        <v>2</v>
      </c>
      <c r="D31" s="6" t="str">
        <f aca="false">INDEX(Parametros!$B$16:$B$18,MATCH($C31,Parametros!$A$16:$A$18,0))</f>
        <v>E2 - Llenado y tapado</v>
      </c>
      <c r="E31" s="7" t="n">
        <f aca="false">IF(WEEKDAY($A31,2)&lt;6,Parametros!$B$21,Parametros!$B$22)</f>
        <v>6</v>
      </c>
      <c r="F31" s="7" t="n">
        <v>0.75</v>
      </c>
      <c r="G31" s="7" t="n">
        <f aca="false">E31-F31</f>
        <v>5.25</v>
      </c>
      <c r="H31" s="7" t="n">
        <v>0.5</v>
      </c>
      <c r="I31" s="7" t="n">
        <f aca="false">G31-H31</f>
        <v>4.75</v>
      </c>
      <c r="J31" s="6" t="s">
        <v>28</v>
      </c>
      <c r="K31" s="5" t="n">
        <f aca="false">INDEX(Parametros!$C$16:$C$18,MATCH($C31,Parametros!$A$16:$A$18,0))</f>
        <v>95</v>
      </c>
      <c r="L31" s="5" t="n">
        <f aca="false">I31*K31</f>
        <v>451.25</v>
      </c>
      <c r="M31" s="5" t="n">
        <v>402</v>
      </c>
      <c r="N31" s="5" t="n">
        <v>392</v>
      </c>
      <c r="O31" s="5" t="n">
        <f aca="false">M31-N31</f>
        <v>10</v>
      </c>
      <c r="P31" s="8" t="n">
        <f aca="false">IFERROR(I31/G31,0)</f>
        <v>0.904761904761905</v>
      </c>
      <c r="Q31" s="8" t="n">
        <f aca="false">IFERROR(M31/L31,0)</f>
        <v>0.890858725761773</v>
      </c>
      <c r="R31" s="8" t="n">
        <f aca="false">IFERROR(N31/M31,0)</f>
        <v>0.975124378109453</v>
      </c>
      <c r="S31" s="8" t="n">
        <f aca="false">P31*Q31*R31</f>
        <v>0.785964912280702</v>
      </c>
    </row>
    <row r="32" customFormat="false" ht="15" hidden="false" customHeight="false" outlineLevel="0" collapsed="false">
      <c r="A32" s="4" t="n">
        <v>46034</v>
      </c>
      <c r="B32" s="5" t="n">
        <f aca="false">MONTH($A32)</f>
        <v>1</v>
      </c>
      <c r="C32" s="5" t="n">
        <v>3</v>
      </c>
      <c r="D32" s="6" t="str">
        <f aca="false">INDEX(Parametros!$B$16:$B$18,MATCH($C32,Parametros!$A$16:$A$18,0))</f>
        <v>E3 - Sellado y etiquetado</v>
      </c>
      <c r="E32" s="7" t="n">
        <f aca="false">IF(WEEKDAY($A32,2)&lt;6,Parametros!$B$21,Parametros!$B$22)</f>
        <v>6</v>
      </c>
      <c r="F32" s="7" t="n">
        <v>0.25</v>
      </c>
      <c r="G32" s="7" t="n">
        <f aca="false">E32-F32</f>
        <v>5.75</v>
      </c>
      <c r="H32" s="7" t="n">
        <v>0</v>
      </c>
      <c r="I32" s="7" t="n">
        <f aca="false">G32-H32</f>
        <v>5.75</v>
      </c>
      <c r="J32" s="6" t="s">
        <v>27</v>
      </c>
      <c r="K32" s="5" t="n">
        <f aca="false">INDEX(Parametros!$C$16:$C$18,MATCH($C32,Parametros!$A$16:$A$18,0))</f>
        <v>95</v>
      </c>
      <c r="L32" s="5" t="n">
        <f aca="false">I32*K32</f>
        <v>546.25</v>
      </c>
      <c r="M32" s="5" t="n">
        <v>392</v>
      </c>
      <c r="N32" s="5" t="n">
        <v>389</v>
      </c>
      <c r="O32" s="5" t="n">
        <f aca="false">M32-N32</f>
        <v>3</v>
      </c>
      <c r="P32" s="8" t="n">
        <f aca="false">IFERROR(I32/G32,0)</f>
        <v>1</v>
      </c>
      <c r="Q32" s="8" t="n">
        <f aca="false">IFERROR(M32/L32,0)</f>
        <v>0.717620137299771</v>
      </c>
      <c r="R32" s="8" t="n">
        <f aca="false">IFERROR(N32/M32,0)</f>
        <v>0.99234693877551</v>
      </c>
      <c r="S32" s="8" t="n">
        <f aca="false">P32*Q32*R32</f>
        <v>0.712128146453089</v>
      </c>
    </row>
    <row r="33" customFormat="false" ht="15" hidden="false" customHeight="false" outlineLevel="0" collapsed="false">
      <c r="A33" s="4" t="n">
        <v>46035</v>
      </c>
      <c r="B33" s="5" t="n">
        <f aca="false">MONTH($A33)</f>
        <v>1</v>
      </c>
      <c r="C33" s="5" t="n">
        <v>1</v>
      </c>
      <c r="D33" s="6" t="str">
        <f aca="false">INDEX(Parametros!$B$16:$B$18,MATCH($C33,Parametros!$A$16:$A$18,0))</f>
        <v>E1 - Lavado y sanitizado de bidones</v>
      </c>
      <c r="E33" s="7" t="n">
        <f aca="false">IF(WEEKDAY($A33,2)&lt;6,Parametros!$B$21,Parametros!$B$22)</f>
        <v>6</v>
      </c>
      <c r="F33" s="7" t="n">
        <v>0.5</v>
      </c>
      <c r="G33" s="7" t="n">
        <f aca="false">E33-F33</f>
        <v>5.5</v>
      </c>
      <c r="H33" s="7" t="n">
        <v>0</v>
      </c>
      <c r="I33" s="7" t="n">
        <f aca="false">G33-H33</f>
        <v>5.5</v>
      </c>
      <c r="J33" s="6" t="s">
        <v>27</v>
      </c>
      <c r="K33" s="5" t="n">
        <f aca="false">INDEX(Parametros!$C$16:$C$18,MATCH($C33,Parametros!$A$16:$A$18,0))</f>
        <v>100</v>
      </c>
      <c r="L33" s="5" t="n">
        <f aca="false">I33*K33</f>
        <v>550</v>
      </c>
      <c r="M33" s="5" t="n">
        <v>363</v>
      </c>
      <c r="N33" s="5" t="n">
        <v>357</v>
      </c>
      <c r="O33" s="5" t="n">
        <f aca="false">M33-N33</f>
        <v>6</v>
      </c>
      <c r="P33" s="8" t="n">
        <f aca="false">IFERROR(I33/G33,0)</f>
        <v>1</v>
      </c>
      <c r="Q33" s="8" t="n">
        <f aca="false">IFERROR(M33/L33,0)</f>
        <v>0.66</v>
      </c>
      <c r="R33" s="8" t="n">
        <f aca="false">IFERROR(N33/M33,0)</f>
        <v>0.983471074380165</v>
      </c>
      <c r="S33" s="8" t="n">
        <f aca="false">P33*Q33*R33</f>
        <v>0.649090909090909</v>
      </c>
    </row>
    <row r="34" customFormat="false" ht="15" hidden="false" customHeight="false" outlineLevel="0" collapsed="false">
      <c r="A34" s="4" t="n">
        <v>46035</v>
      </c>
      <c r="B34" s="5" t="n">
        <f aca="false">MONTH($A34)</f>
        <v>1</v>
      </c>
      <c r="C34" s="5" t="n">
        <v>2</v>
      </c>
      <c r="D34" s="6" t="str">
        <f aca="false">INDEX(Parametros!$B$16:$B$18,MATCH($C34,Parametros!$A$16:$A$18,0))</f>
        <v>E2 - Llenado y tapado</v>
      </c>
      <c r="E34" s="7" t="n">
        <f aca="false">IF(WEEKDAY($A34,2)&lt;6,Parametros!$B$21,Parametros!$B$22)</f>
        <v>6</v>
      </c>
      <c r="F34" s="7" t="n">
        <v>0.75</v>
      </c>
      <c r="G34" s="7" t="n">
        <f aca="false">E34-F34</f>
        <v>5.25</v>
      </c>
      <c r="H34" s="7" t="n">
        <v>0.5</v>
      </c>
      <c r="I34" s="7" t="n">
        <f aca="false">G34-H34</f>
        <v>4.75</v>
      </c>
      <c r="J34" s="6" t="s">
        <v>30</v>
      </c>
      <c r="K34" s="5" t="n">
        <f aca="false">INDEX(Parametros!$C$16:$C$18,MATCH($C34,Parametros!$A$16:$A$18,0))</f>
        <v>95</v>
      </c>
      <c r="L34" s="5" t="n">
        <f aca="false">I34*K34</f>
        <v>451.25</v>
      </c>
      <c r="M34" s="5" t="n">
        <v>357</v>
      </c>
      <c r="N34" s="5" t="n">
        <v>354</v>
      </c>
      <c r="O34" s="5" t="n">
        <f aca="false">M34-N34</f>
        <v>3</v>
      </c>
      <c r="P34" s="8" t="n">
        <f aca="false">IFERROR(I34/G34,0)</f>
        <v>0.904761904761905</v>
      </c>
      <c r="Q34" s="8" t="n">
        <f aca="false">IFERROR(M34/L34,0)</f>
        <v>0.791135734072022</v>
      </c>
      <c r="R34" s="8" t="n">
        <f aca="false">IFERROR(N34/M34,0)</f>
        <v>0.991596638655462</v>
      </c>
      <c r="S34" s="8" t="n">
        <f aca="false">P34*Q34*R34</f>
        <v>0.709774436090226</v>
      </c>
    </row>
    <row r="35" customFormat="false" ht="15" hidden="false" customHeight="false" outlineLevel="0" collapsed="false">
      <c r="A35" s="4" t="n">
        <v>46035</v>
      </c>
      <c r="B35" s="5" t="n">
        <f aca="false">MONTH($A35)</f>
        <v>1</v>
      </c>
      <c r="C35" s="5" t="n">
        <v>3</v>
      </c>
      <c r="D35" s="6" t="str">
        <f aca="false">INDEX(Parametros!$B$16:$B$18,MATCH($C35,Parametros!$A$16:$A$18,0))</f>
        <v>E3 - Sellado y etiquetado</v>
      </c>
      <c r="E35" s="7" t="n">
        <f aca="false">IF(WEEKDAY($A35,2)&lt;6,Parametros!$B$21,Parametros!$B$22)</f>
        <v>6</v>
      </c>
      <c r="F35" s="7" t="n">
        <v>0.5</v>
      </c>
      <c r="G35" s="7" t="n">
        <f aca="false">E35-F35</f>
        <v>5.5</v>
      </c>
      <c r="H35" s="7" t="n">
        <v>0</v>
      </c>
      <c r="I35" s="7" t="n">
        <f aca="false">G35-H35</f>
        <v>5.5</v>
      </c>
      <c r="J35" s="6" t="s">
        <v>27</v>
      </c>
      <c r="K35" s="5" t="n">
        <f aca="false">INDEX(Parametros!$C$16:$C$18,MATCH($C35,Parametros!$A$16:$A$18,0))</f>
        <v>95</v>
      </c>
      <c r="L35" s="5" t="n">
        <f aca="false">I35*K35</f>
        <v>522.5</v>
      </c>
      <c r="M35" s="5" t="n">
        <v>354</v>
      </c>
      <c r="N35" s="5" t="n">
        <v>350</v>
      </c>
      <c r="O35" s="5" t="n">
        <f aca="false">M35-N35</f>
        <v>4</v>
      </c>
      <c r="P35" s="8" t="n">
        <f aca="false">IFERROR(I35/G35,0)</f>
        <v>1</v>
      </c>
      <c r="Q35" s="8" t="n">
        <f aca="false">IFERROR(M35/L35,0)</f>
        <v>0.677511961722488</v>
      </c>
      <c r="R35" s="8" t="n">
        <f aca="false">IFERROR(N35/M35,0)</f>
        <v>0.988700564971751</v>
      </c>
      <c r="S35" s="8" t="n">
        <f aca="false">P35*Q35*R35</f>
        <v>0.669856459330144</v>
      </c>
    </row>
    <row r="36" customFormat="false" ht="15" hidden="false" customHeight="false" outlineLevel="0" collapsed="false">
      <c r="A36" s="4" t="n">
        <v>46036</v>
      </c>
      <c r="B36" s="5" t="n">
        <f aca="false">MONTH($A36)</f>
        <v>1</v>
      </c>
      <c r="C36" s="5" t="n">
        <v>1</v>
      </c>
      <c r="D36" s="6" t="str">
        <f aca="false">INDEX(Parametros!$B$16:$B$18,MATCH($C36,Parametros!$A$16:$A$18,0))</f>
        <v>E1 - Lavado y sanitizado de bidones</v>
      </c>
      <c r="E36" s="7" t="n">
        <f aca="false">IF(WEEKDAY($A36,2)&lt;6,Parametros!$B$21,Parametros!$B$22)</f>
        <v>6</v>
      </c>
      <c r="F36" s="7" t="n">
        <v>0.5</v>
      </c>
      <c r="G36" s="7" t="n">
        <f aca="false">E36-F36</f>
        <v>5.5</v>
      </c>
      <c r="H36" s="7" t="n">
        <v>0.25</v>
      </c>
      <c r="I36" s="7" t="n">
        <f aca="false">G36-H36</f>
        <v>5.25</v>
      </c>
      <c r="J36" s="6" t="s">
        <v>30</v>
      </c>
      <c r="K36" s="5" t="n">
        <f aca="false">INDEX(Parametros!$C$16:$C$18,MATCH($C36,Parametros!$A$16:$A$18,0))</f>
        <v>100</v>
      </c>
      <c r="L36" s="5" t="n">
        <f aca="false">I36*K36</f>
        <v>525</v>
      </c>
      <c r="M36" s="5" t="n">
        <v>367</v>
      </c>
      <c r="N36" s="5" t="n">
        <v>362</v>
      </c>
      <c r="O36" s="5" t="n">
        <f aca="false">M36-N36</f>
        <v>5</v>
      </c>
      <c r="P36" s="8" t="n">
        <f aca="false">IFERROR(I36/G36,0)</f>
        <v>0.954545454545455</v>
      </c>
      <c r="Q36" s="8" t="n">
        <f aca="false">IFERROR(M36/L36,0)</f>
        <v>0.699047619047619</v>
      </c>
      <c r="R36" s="8" t="n">
        <f aca="false">IFERROR(N36/M36,0)</f>
        <v>0.986376021798365</v>
      </c>
      <c r="S36" s="8" t="n">
        <f aca="false">P36*Q36*R36</f>
        <v>0.658181818181818</v>
      </c>
    </row>
    <row r="37" customFormat="false" ht="15" hidden="false" customHeight="false" outlineLevel="0" collapsed="false">
      <c r="A37" s="4" t="n">
        <v>46036</v>
      </c>
      <c r="B37" s="5" t="n">
        <f aca="false">MONTH($A37)</f>
        <v>1</v>
      </c>
      <c r="C37" s="5" t="n">
        <v>2</v>
      </c>
      <c r="D37" s="6" t="str">
        <f aca="false">INDEX(Parametros!$B$16:$B$18,MATCH($C37,Parametros!$A$16:$A$18,0))</f>
        <v>E2 - Llenado y tapado</v>
      </c>
      <c r="E37" s="7" t="n">
        <f aca="false">IF(WEEKDAY($A37,2)&lt;6,Parametros!$B$21,Parametros!$B$22)</f>
        <v>6</v>
      </c>
      <c r="F37" s="7" t="n">
        <v>0.75</v>
      </c>
      <c r="G37" s="7" t="n">
        <f aca="false">E37-F37</f>
        <v>5.25</v>
      </c>
      <c r="H37" s="7" t="n">
        <v>0</v>
      </c>
      <c r="I37" s="7" t="n">
        <f aca="false">G37-H37</f>
        <v>5.25</v>
      </c>
      <c r="J37" s="6" t="s">
        <v>27</v>
      </c>
      <c r="K37" s="5" t="n">
        <f aca="false">INDEX(Parametros!$C$16:$C$18,MATCH($C37,Parametros!$A$16:$A$18,0))</f>
        <v>95</v>
      </c>
      <c r="L37" s="5" t="n">
        <f aca="false">I37*K37</f>
        <v>498.75</v>
      </c>
      <c r="M37" s="5" t="n">
        <v>362</v>
      </c>
      <c r="N37" s="5" t="n">
        <v>356</v>
      </c>
      <c r="O37" s="5" t="n">
        <f aca="false">M37-N37</f>
        <v>6</v>
      </c>
      <c r="P37" s="8" t="n">
        <f aca="false">IFERROR(I37/G37,0)</f>
        <v>1</v>
      </c>
      <c r="Q37" s="8" t="n">
        <f aca="false">IFERROR(M37/L37,0)</f>
        <v>0.725814536340852</v>
      </c>
      <c r="R37" s="8" t="n">
        <f aca="false">IFERROR(N37/M37,0)</f>
        <v>0.983425414364641</v>
      </c>
      <c r="S37" s="8" t="n">
        <f aca="false">P37*Q37*R37</f>
        <v>0.713784461152882</v>
      </c>
    </row>
    <row r="38" customFormat="false" ht="15" hidden="false" customHeight="false" outlineLevel="0" collapsed="false">
      <c r="A38" s="4" t="n">
        <v>46036</v>
      </c>
      <c r="B38" s="5" t="n">
        <f aca="false">MONTH($A38)</f>
        <v>1</v>
      </c>
      <c r="C38" s="5" t="n">
        <v>3</v>
      </c>
      <c r="D38" s="6" t="str">
        <f aca="false">INDEX(Parametros!$B$16:$B$18,MATCH($C38,Parametros!$A$16:$A$18,0))</f>
        <v>E3 - Sellado y etiquetado</v>
      </c>
      <c r="E38" s="7" t="n">
        <f aca="false">IF(WEEKDAY($A38,2)&lt;6,Parametros!$B$21,Parametros!$B$22)</f>
        <v>6</v>
      </c>
      <c r="F38" s="7" t="n">
        <v>0.5</v>
      </c>
      <c r="G38" s="7" t="n">
        <f aca="false">E38-F38</f>
        <v>5.5</v>
      </c>
      <c r="H38" s="7" t="n">
        <v>0</v>
      </c>
      <c r="I38" s="7" t="n">
        <f aca="false">G38-H38</f>
        <v>5.5</v>
      </c>
      <c r="J38" s="6" t="s">
        <v>27</v>
      </c>
      <c r="K38" s="5" t="n">
        <f aca="false">INDEX(Parametros!$C$16:$C$18,MATCH($C38,Parametros!$A$16:$A$18,0))</f>
        <v>95</v>
      </c>
      <c r="L38" s="5" t="n">
        <f aca="false">I38*K38</f>
        <v>522.5</v>
      </c>
      <c r="M38" s="5" t="n">
        <v>356</v>
      </c>
      <c r="N38" s="5" t="n">
        <v>353</v>
      </c>
      <c r="O38" s="5" t="n">
        <f aca="false">M38-N38</f>
        <v>3</v>
      </c>
      <c r="P38" s="8" t="n">
        <f aca="false">IFERROR(I38/G38,0)</f>
        <v>1</v>
      </c>
      <c r="Q38" s="8" t="n">
        <f aca="false">IFERROR(M38/L38,0)</f>
        <v>0.68133971291866</v>
      </c>
      <c r="R38" s="8" t="n">
        <f aca="false">IFERROR(N38/M38,0)</f>
        <v>0.991573033707865</v>
      </c>
      <c r="S38" s="8" t="n">
        <f aca="false">P38*Q38*R38</f>
        <v>0.675598086124402</v>
      </c>
    </row>
    <row r="39" customFormat="false" ht="15" hidden="false" customHeight="false" outlineLevel="0" collapsed="false">
      <c r="A39" s="4" t="n">
        <v>46037</v>
      </c>
      <c r="B39" s="5" t="n">
        <f aca="false">MONTH($A39)</f>
        <v>1</v>
      </c>
      <c r="C39" s="5" t="n">
        <v>1</v>
      </c>
      <c r="D39" s="6" t="str">
        <f aca="false">INDEX(Parametros!$B$16:$B$18,MATCH($C39,Parametros!$A$16:$A$18,0))</f>
        <v>E1 - Lavado y sanitizado de bidones</v>
      </c>
      <c r="E39" s="7" t="n">
        <f aca="false">IF(WEEKDAY($A39,2)&lt;6,Parametros!$B$21,Parametros!$B$22)</f>
        <v>6</v>
      </c>
      <c r="F39" s="7" t="n">
        <v>0.5</v>
      </c>
      <c r="G39" s="7" t="n">
        <f aca="false">E39-F39</f>
        <v>5.5</v>
      </c>
      <c r="H39" s="7" t="n">
        <v>0</v>
      </c>
      <c r="I39" s="7" t="n">
        <f aca="false">G39-H39</f>
        <v>5.5</v>
      </c>
      <c r="J39" s="6" t="s">
        <v>27</v>
      </c>
      <c r="K39" s="5" t="n">
        <f aca="false">INDEX(Parametros!$C$16:$C$18,MATCH($C39,Parametros!$A$16:$A$18,0))</f>
        <v>100</v>
      </c>
      <c r="L39" s="5" t="n">
        <f aca="false">I39*K39</f>
        <v>550</v>
      </c>
      <c r="M39" s="5" t="n">
        <v>353</v>
      </c>
      <c r="N39" s="5" t="n">
        <v>348</v>
      </c>
      <c r="O39" s="5" t="n">
        <f aca="false">M39-N39</f>
        <v>5</v>
      </c>
      <c r="P39" s="8" t="n">
        <f aca="false">IFERROR(I39/G39,0)</f>
        <v>1</v>
      </c>
      <c r="Q39" s="8" t="n">
        <f aca="false">IFERROR(M39/L39,0)</f>
        <v>0.641818181818182</v>
      </c>
      <c r="R39" s="8" t="n">
        <f aca="false">IFERROR(N39/M39,0)</f>
        <v>0.985835694050992</v>
      </c>
      <c r="S39" s="8" t="n">
        <f aca="false">P39*Q39*R39</f>
        <v>0.632727272727273</v>
      </c>
    </row>
    <row r="40" customFormat="false" ht="15" hidden="false" customHeight="false" outlineLevel="0" collapsed="false">
      <c r="A40" s="4" t="n">
        <v>46037</v>
      </c>
      <c r="B40" s="5" t="n">
        <f aca="false">MONTH($A40)</f>
        <v>1</v>
      </c>
      <c r="C40" s="5" t="n">
        <v>2</v>
      </c>
      <c r="D40" s="6" t="str">
        <f aca="false">INDEX(Parametros!$B$16:$B$18,MATCH($C40,Parametros!$A$16:$A$18,0))</f>
        <v>E2 - Llenado y tapado</v>
      </c>
      <c r="E40" s="7" t="n">
        <f aca="false">IF(WEEKDAY($A40,2)&lt;6,Parametros!$B$21,Parametros!$B$22)</f>
        <v>6</v>
      </c>
      <c r="F40" s="7" t="n">
        <v>0.75</v>
      </c>
      <c r="G40" s="7" t="n">
        <f aca="false">E40-F40</f>
        <v>5.25</v>
      </c>
      <c r="H40" s="7" t="n">
        <v>0.5</v>
      </c>
      <c r="I40" s="7" t="n">
        <f aca="false">G40-H40</f>
        <v>4.75</v>
      </c>
      <c r="J40" s="6" t="s">
        <v>28</v>
      </c>
      <c r="K40" s="5" t="n">
        <f aca="false">INDEX(Parametros!$C$16:$C$18,MATCH($C40,Parametros!$A$16:$A$18,0))</f>
        <v>95</v>
      </c>
      <c r="L40" s="5" t="n">
        <f aca="false">I40*K40</f>
        <v>451.25</v>
      </c>
      <c r="M40" s="5" t="n">
        <v>348</v>
      </c>
      <c r="N40" s="5" t="n">
        <v>345</v>
      </c>
      <c r="O40" s="5" t="n">
        <f aca="false">M40-N40</f>
        <v>3</v>
      </c>
      <c r="P40" s="8" t="n">
        <f aca="false">IFERROR(I40/G40,0)</f>
        <v>0.904761904761905</v>
      </c>
      <c r="Q40" s="8" t="n">
        <f aca="false">IFERROR(M40/L40,0)</f>
        <v>0.771191135734072</v>
      </c>
      <c r="R40" s="8" t="n">
        <f aca="false">IFERROR(N40/M40,0)</f>
        <v>0.991379310344828</v>
      </c>
      <c r="S40" s="8" t="n">
        <f aca="false">P40*Q40*R40</f>
        <v>0.691729323308271</v>
      </c>
    </row>
    <row r="41" customFormat="false" ht="15" hidden="false" customHeight="false" outlineLevel="0" collapsed="false">
      <c r="A41" s="4" t="n">
        <v>46037</v>
      </c>
      <c r="B41" s="5" t="n">
        <f aca="false">MONTH($A41)</f>
        <v>1</v>
      </c>
      <c r="C41" s="5" t="n">
        <v>3</v>
      </c>
      <c r="D41" s="6" t="str">
        <f aca="false">INDEX(Parametros!$B$16:$B$18,MATCH($C41,Parametros!$A$16:$A$18,0))</f>
        <v>E3 - Sellado y etiquetado</v>
      </c>
      <c r="E41" s="7" t="n">
        <f aca="false">IF(WEEKDAY($A41,2)&lt;6,Parametros!$B$21,Parametros!$B$22)</f>
        <v>6</v>
      </c>
      <c r="F41" s="7" t="n">
        <v>0.25</v>
      </c>
      <c r="G41" s="7" t="n">
        <f aca="false">E41-F41</f>
        <v>5.75</v>
      </c>
      <c r="H41" s="7" t="n">
        <v>0</v>
      </c>
      <c r="I41" s="7" t="n">
        <f aca="false">G41-H41</f>
        <v>5.75</v>
      </c>
      <c r="J41" s="6" t="s">
        <v>27</v>
      </c>
      <c r="K41" s="5" t="n">
        <f aca="false">INDEX(Parametros!$C$16:$C$18,MATCH($C41,Parametros!$A$16:$A$18,0))</f>
        <v>95</v>
      </c>
      <c r="L41" s="5" t="n">
        <f aca="false">I41*K41</f>
        <v>546.25</v>
      </c>
      <c r="M41" s="5" t="n">
        <v>345</v>
      </c>
      <c r="N41" s="5" t="n">
        <v>340</v>
      </c>
      <c r="O41" s="5" t="n">
        <f aca="false">M41-N41</f>
        <v>5</v>
      </c>
      <c r="P41" s="8" t="n">
        <f aca="false">IFERROR(I41/G41,0)</f>
        <v>1</v>
      </c>
      <c r="Q41" s="8" t="n">
        <f aca="false">IFERROR(M41/L41,0)</f>
        <v>0.631578947368421</v>
      </c>
      <c r="R41" s="8" t="n">
        <f aca="false">IFERROR(N41/M41,0)</f>
        <v>0.985507246376812</v>
      </c>
      <c r="S41" s="8" t="n">
        <f aca="false">P41*Q41*R41</f>
        <v>0.622425629290618</v>
      </c>
    </row>
    <row r="42" customFormat="false" ht="15" hidden="false" customHeight="false" outlineLevel="0" collapsed="false">
      <c r="A42" s="4" t="n">
        <v>46038</v>
      </c>
      <c r="B42" s="5" t="n">
        <f aca="false">MONTH($A42)</f>
        <v>1</v>
      </c>
      <c r="C42" s="5" t="n">
        <v>1</v>
      </c>
      <c r="D42" s="6" t="str">
        <f aca="false">INDEX(Parametros!$B$16:$B$18,MATCH($C42,Parametros!$A$16:$A$18,0))</f>
        <v>E1 - Lavado y sanitizado de bidones</v>
      </c>
      <c r="E42" s="7" t="n">
        <f aca="false">IF(WEEKDAY($A42,2)&lt;6,Parametros!$B$21,Parametros!$B$22)</f>
        <v>6</v>
      </c>
      <c r="F42" s="7" t="n">
        <v>0.5</v>
      </c>
      <c r="G42" s="7" t="n">
        <f aca="false">E42-F42</f>
        <v>5.5</v>
      </c>
      <c r="H42" s="7" t="n">
        <v>0</v>
      </c>
      <c r="I42" s="7" t="n">
        <f aca="false">G42-H42</f>
        <v>5.5</v>
      </c>
      <c r="J42" s="6" t="s">
        <v>27</v>
      </c>
      <c r="K42" s="5" t="n">
        <f aca="false">INDEX(Parametros!$C$16:$C$18,MATCH($C42,Parametros!$A$16:$A$18,0))</f>
        <v>100</v>
      </c>
      <c r="L42" s="5" t="n">
        <f aca="false">I42*K42</f>
        <v>550</v>
      </c>
      <c r="M42" s="5" t="n">
        <v>384</v>
      </c>
      <c r="N42" s="5" t="n">
        <v>379</v>
      </c>
      <c r="O42" s="5" t="n">
        <f aca="false">M42-N42</f>
        <v>5</v>
      </c>
      <c r="P42" s="8" t="n">
        <f aca="false">IFERROR(I42/G42,0)</f>
        <v>1</v>
      </c>
      <c r="Q42" s="8" t="n">
        <f aca="false">IFERROR(M42/L42,0)</f>
        <v>0.698181818181818</v>
      </c>
      <c r="R42" s="8" t="n">
        <f aca="false">IFERROR(N42/M42,0)</f>
        <v>0.986979166666667</v>
      </c>
      <c r="S42" s="8" t="n">
        <f aca="false">P42*Q42*R42</f>
        <v>0.689090909090909</v>
      </c>
    </row>
    <row r="43" customFormat="false" ht="15" hidden="false" customHeight="false" outlineLevel="0" collapsed="false">
      <c r="A43" s="4" t="n">
        <v>46038</v>
      </c>
      <c r="B43" s="5" t="n">
        <f aca="false">MONTH($A43)</f>
        <v>1</v>
      </c>
      <c r="C43" s="5" t="n">
        <v>2</v>
      </c>
      <c r="D43" s="6" t="str">
        <f aca="false">INDEX(Parametros!$B$16:$B$18,MATCH($C43,Parametros!$A$16:$A$18,0))</f>
        <v>E2 - Llenado y tapado</v>
      </c>
      <c r="E43" s="7" t="n">
        <f aca="false">IF(WEEKDAY($A43,2)&lt;6,Parametros!$B$21,Parametros!$B$22)</f>
        <v>6</v>
      </c>
      <c r="F43" s="7" t="n">
        <v>0.75</v>
      </c>
      <c r="G43" s="7" t="n">
        <f aca="false">E43-F43</f>
        <v>5.25</v>
      </c>
      <c r="H43" s="7" t="n">
        <v>0</v>
      </c>
      <c r="I43" s="7" t="n">
        <f aca="false">G43-H43</f>
        <v>5.25</v>
      </c>
      <c r="J43" s="6" t="s">
        <v>27</v>
      </c>
      <c r="K43" s="5" t="n">
        <f aca="false">INDEX(Parametros!$C$16:$C$18,MATCH($C43,Parametros!$A$16:$A$18,0))</f>
        <v>95</v>
      </c>
      <c r="L43" s="5" t="n">
        <f aca="false">I43*K43</f>
        <v>498.75</v>
      </c>
      <c r="M43" s="5" t="n">
        <v>379</v>
      </c>
      <c r="N43" s="5" t="n">
        <v>371</v>
      </c>
      <c r="O43" s="5" t="n">
        <f aca="false">M43-N43</f>
        <v>8</v>
      </c>
      <c r="P43" s="8" t="n">
        <f aca="false">IFERROR(I43/G43,0)</f>
        <v>1</v>
      </c>
      <c r="Q43" s="8" t="n">
        <f aca="false">IFERROR(M43/L43,0)</f>
        <v>0.759899749373434</v>
      </c>
      <c r="R43" s="8" t="n">
        <f aca="false">IFERROR(N43/M43,0)</f>
        <v>0.978891820580475</v>
      </c>
      <c r="S43" s="8" t="n">
        <f aca="false">P43*Q43*R43</f>
        <v>0.743859649122807</v>
      </c>
    </row>
    <row r="44" customFormat="false" ht="15" hidden="false" customHeight="false" outlineLevel="0" collapsed="false">
      <c r="A44" s="4" t="n">
        <v>46038</v>
      </c>
      <c r="B44" s="5" t="n">
        <f aca="false">MONTH($A44)</f>
        <v>1</v>
      </c>
      <c r="C44" s="5" t="n">
        <v>3</v>
      </c>
      <c r="D44" s="6" t="str">
        <f aca="false">INDEX(Parametros!$B$16:$B$18,MATCH($C44,Parametros!$A$16:$A$18,0))</f>
        <v>E3 - Sellado y etiquetado</v>
      </c>
      <c r="E44" s="7" t="n">
        <f aca="false">IF(WEEKDAY($A44,2)&lt;6,Parametros!$B$21,Parametros!$B$22)</f>
        <v>6</v>
      </c>
      <c r="F44" s="7" t="n">
        <v>0.25</v>
      </c>
      <c r="G44" s="7" t="n">
        <f aca="false">E44-F44</f>
        <v>5.75</v>
      </c>
      <c r="H44" s="7" t="n">
        <v>0.5</v>
      </c>
      <c r="I44" s="7" t="n">
        <f aca="false">G44-H44</f>
        <v>5.25</v>
      </c>
      <c r="J44" s="6" t="s">
        <v>30</v>
      </c>
      <c r="K44" s="5" t="n">
        <f aca="false">INDEX(Parametros!$C$16:$C$18,MATCH($C44,Parametros!$A$16:$A$18,0))</f>
        <v>95</v>
      </c>
      <c r="L44" s="5" t="n">
        <f aca="false">I44*K44</f>
        <v>498.75</v>
      </c>
      <c r="M44" s="5" t="n">
        <v>371</v>
      </c>
      <c r="N44" s="5" t="n">
        <v>366</v>
      </c>
      <c r="O44" s="5" t="n">
        <f aca="false">M44-N44</f>
        <v>5</v>
      </c>
      <c r="P44" s="8" t="n">
        <f aca="false">IFERROR(I44/G44,0)</f>
        <v>0.91304347826087</v>
      </c>
      <c r="Q44" s="8" t="n">
        <f aca="false">IFERROR(M44/L44,0)</f>
        <v>0.743859649122807</v>
      </c>
      <c r="R44" s="8" t="n">
        <f aca="false">IFERROR(N44/M44,0)</f>
        <v>0.986522911051213</v>
      </c>
      <c r="S44" s="8" t="n">
        <f aca="false">P44*Q44*R44</f>
        <v>0.670022883295194</v>
      </c>
    </row>
    <row r="45" customFormat="false" ht="15" hidden="false" customHeight="false" outlineLevel="0" collapsed="false">
      <c r="A45" s="4" t="n">
        <v>46039</v>
      </c>
      <c r="B45" s="5" t="n">
        <f aca="false">MONTH($A45)</f>
        <v>1</v>
      </c>
      <c r="C45" s="5" t="n">
        <v>1</v>
      </c>
      <c r="D45" s="6" t="str">
        <f aca="false">INDEX(Parametros!$B$16:$B$18,MATCH($C45,Parametros!$A$16:$A$18,0))</f>
        <v>E1 - Lavado y sanitizado de bidones</v>
      </c>
      <c r="E45" s="7" t="n">
        <f aca="false">IF(WEEKDAY($A45,2)&lt;6,Parametros!$B$21,Parametros!$B$22)</f>
        <v>4</v>
      </c>
      <c r="F45" s="7" t="n">
        <v>0.75</v>
      </c>
      <c r="G45" s="7" t="n">
        <f aca="false">E45-F45</f>
        <v>3.25</v>
      </c>
      <c r="H45" s="7" t="n">
        <v>1.25</v>
      </c>
      <c r="I45" s="7" t="n">
        <f aca="false">G45-H45</f>
        <v>2</v>
      </c>
      <c r="J45" s="6" t="s">
        <v>29</v>
      </c>
      <c r="K45" s="5" t="n">
        <f aca="false">INDEX(Parametros!$C$16:$C$18,MATCH($C45,Parametros!$A$16:$A$18,0))</f>
        <v>100</v>
      </c>
      <c r="L45" s="5" t="n">
        <f aca="false">I45*K45</f>
        <v>200</v>
      </c>
      <c r="M45" s="5" t="n">
        <v>113</v>
      </c>
      <c r="N45" s="5" t="n">
        <v>111</v>
      </c>
      <c r="O45" s="5" t="n">
        <f aca="false">M45-N45</f>
        <v>2</v>
      </c>
      <c r="P45" s="8" t="n">
        <f aca="false">IFERROR(I45/G45,0)</f>
        <v>0.615384615384615</v>
      </c>
      <c r="Q45" s="8" t="n">
        <f aca="false">IFERROR(M45/L45,0)</f>
        <v>0.565</v>
      </c>
      <c r="R45" s="8" t="n">
        <f aca="false">IFERROR(N45/M45,0)</f>
        <v>0.982300884955752</v>
      </c>
      <c r="S45" s="8" t="n">
        <f aca="false">P45*Q45*R45</f>
        <v>0.341538461538462</v>
      </c>
    </row>
    <row r="46" customFormat="false" ht="15" hidden="false" customHeight="false" outlineLevel="0" collapsed="false">
      <c r="A46" s="4" t="n">
        <v>46039</v>
      </c>
      <c r="B46" s="5" t="n">
        <f aca="false">MONTH($A46)</f>
        <v>1</v>
      </c>
      <c r="C46" s="5" t="n">
        <v>2</v>
      </c>
      <c r="D46" s="6" t="str">
        <f aca="false">INDEX(Parametros!$B$16:$B$18,MATCH($C46,Parametros!$A$16:$A$18,0))</f>
        <v>E2 - Llenado y tapado</v>
      </c>
      <c r="E46" s="7" t="n">
        <f aca="false">IF(WEEKDAY($A46,2)&lt;6,Parametros!$B$21,Parametros!$B$22)</f>
        <v>4</v>
      </c>
      <c r="F46" s="7" t="n">
        <v>1</v>
      </c>
      <c r="G46" s="7" t="n">
        <f aca="false">E46-F46</f>
        <v>3</v>
      </c>
      <c r="H46" s="7" t="n">
        <v>1.75</v>
      </c>
      <c r="I46" s="7" t="n">
        <f aca="false">G46-H46</f>
        <v>1.25</v>
      </c>
      <c r="J46" s="6" t="s">
        <v>23</v>
      </c>
      <c r="K46" s="5" t="n">
        <f aca="false">INDEX(Parametros!$C$16:$C$18,MATCH($C46,Parametros!$A$16:$A$18,0))</f>
        <v>95</v>
      </c>
      <c r="L46" s="5" t="n">
        <f aca="false">I46*K46</f>
        <v>118.75</v>
      </c>
      <c r="M46" s="5" t="n">
        <v>111</v>
      </c>
      <c r="N46" s="5" t="n">
        <v>109</v>
      </c>
      <c r="O46" s="5" t="n">
        <f aca="false">M46-N46</f>
        <v>2</v>
      </c>
      <c r="P46" s="8" t="n">
        <f aca="false">IFERROR(I46/G46,0)</f>
        <v>0.416666666666667</v>
      </c>
      <c r="Q46" s="8" t="n">
        <f aca="false">IFERROR(M46/L46,0)</f>
        <v>0.934736842105263</v>
      </c>
      <c r="R46" s="8" t="n">
        <f aca="false">IFERROR(N46/M46,0)</f>
        <v>0.981981981981982</v>
      </c>
      <c r="S46" s="8" t="n">
        <f aca="false">P46*Q46*R46</f>
        <v>0.382456140350877</v>
      </c>
    </row>
    <row r="47" customFormat="false" ht="15" hidden="false" customHeight="false" outlineLevel="0" collapsed="false">
      <c r="A47" s="4" t="n">
        <v>46039</v>
      </c>
      <c r="B47" s="5" t="n">
        <f aca="false">MONTH($A47)</f>
        <v>1</v>
      </c>
      <c r="C47" s="5" t="n">
        <v>3</v>
      </c>
      <c r="D47" s="6" t="str">
        <f aca="false">INDEX(Parametros!$B$16:$B$18,MATCH($C47,Parametros!$A$16:$A$18,0))</f>
        <v>E3 - Sellado y etiquetado</v>
      </c>
      <c r="E47" s="7" t="n">
        <f aca="false">IF(WEEKDAY($A47,2)&lt;6,Parametros!$B$21,Parametros!$B$22)</f>
        <v>4</v>
      </c>
      <c r="F47" s="7" t="n">
        <v>0.5</v>
      </c>
      <c r="G47" s="7" t="n">
        <f aca="false">E47-F47</f>
        <v>3.5</v>
      </c>
      <c r="H47" s="7" t="n">
        <v>1.5</v>
      </c>
      <c r="I47" s="7" t="n">
        <f aca="false">G47-H47</f>
        <v>2</v>
      </c>
      <c r="J47" s="6" t="s">
        <v>25</v>
      </c>
      <c r="K47" s="5" t="n">
        <f aca="false">INDEX(Parametros!$C$16:$C$18,MATCH($C47,Parametros!$A$16:$A$18,0))</f>
        <v>95</v>
      </c>
      <c r="L47" s="5" t="n">
        <f aca="false">I47*K47</f>
        <v>190</v>
      </c>
      <c r="M47" s="5" t="n">
        <v>109</v>
      </c>
      <c r="N47" s="5" t="n">
        <v>108</v>
      </c>
      <c r="O47" s="5" t="n">
        <f aca="false">M47-N47</f>
        <v>1</v>
      </c>
      <c r="P47" s="8" t="n">
        <f aca="false">IFERROR(I47/G47,0)</f>
        <v>0.571428571428571</v>
      </c>
      <c r="Q47" s="8" t="n">
        <f aca="false">IFERROR(M47/L47,0)</f>
        <v>0.573684210526316</v>
      </c>
      <c r="R47" s="8" t="n">
        <f aca="false">IFERROR(N47/M47,0)</f>
        <v>0.990825688073395</v>
      </c>
      <c r="S47" s="8" t="n">
        <f aca="false">P47*Q47*R47</f>
        <v>0.324812030075188</v>
      </c>
    </row>
    <row r="48" customFormat="false" ht="15" hidden="false" customHeight="false" outlineLevel="0" collapsed="false">
      <c r="A48" s="4" t="n">
        <v>46041</v>
      </c>
      <c r="B48" s="5" t="n">
        <f aca="false">MONTH($A48)</f>
        <v>1</v>
      </c>
      <c r="C48" s="5" t="n">
        <v>1</v>
      </c>
      <c r="D48" s="6" t="str">
        <f aca="false">INDEX(Parametros!$B$16:$B$18,MATCH($C48,Parametros!$A$16:$A$18,0))</f>
        <v>E1 - Lavado y sanitizado de bidones</v>
      </c>
      <c r="E48" s="7" t="n">
        <f aca="false">IF(WEEKDAY($A48,2)&lt;6,Parametros!$B$21,Parametros!$B$22)</f>
        <v>6</v>
      </c>
      <c r="F48" s="7" t="n">
        <v>0.5</v>
      </c>
      <c r="G48" s="7" t="n">
        <f aca="false">E48-F48</f>
        <v>5.5</v>
      </c>
      <c r="H48" s="7" t="n">
        <v>0.5</v>
      </c>
      <c r="I48" s="7" t="n">
        <f aca="false">G48-H48</f>
        <v>5</v>
      </c>
      <c r="J48" s="6" t="s">
        <v>26</v>
      </c>
      <c r="K48" s="5" t="n">
        <f aca="false">INDEX(Parametros!$C$16:$C$18,MATCH($C48,Parametros!$A$16:$A$18,0))</f>
        <v>100</v>
      </c>
      <c r="L48" s="5" t="n">
        <f aca="false">I48*K48</f>
        <v>500</v>
      </c>
      <c r="M48" s="5" t="n">
        <v>367</v>
      </c>
      <c r="N48" s="5" t="n">
        <v>364</v>
      </c>
      <c r="O48" s="5" t="n">
        <f aca="false">M48-N48</f>
        <v>3</v>
      </c>
      <c r="P48" s="8" t="n">
        <f aca="false">IFERROR(I48/G48,0)</f>
        <v>0.909090909090909</v>
      </c>
      <c r="Q48" s="8" t="n">
        <f aca="false">IFERROR(M48/L48,0)</f>
        <v>0.734</v>
      </c>
      <c r="R48" s="8" t="n">
        <f aca="false">IFERROR(N48/M48,0)</f>
        <v>0.991825613079019</v>
      </c>
      <c r="S48" s="8" t="n">
        <f aca="false">P48*Q48*R48</f>
        <v>0.661818181818182</v>
      </c>
    </row>
    <row r="49" customFormat="false" ht="15" hidden="false" customHeight="false" outlineLevel="0" collapsed="false">
      <c r="A49" s="4" t="n">
        <v>46041</v>
      </c>
      <c r="B49" s="5" t="n">
        <f aca="false">MONTH($A49)</f>
        <v>1</v>
      </c>
      <c r="C49" s="5" t="n">
        <v>2</v>
      </c>
      <c r="D49" s="6" t="str">
        <f aca="false">INDEX(Parametros!$B$16:$B$18,MATCH($C49,Parametros!$A$16:$A$18,0))</f>
        <v>E2 - Llenado y tapado</v>
      </c>
      <c r="E49" s="7" t="n">
        <f aca="false">IF(WEEKDAY($A49,2)&lt;6,Parametros!$B$21,Parametros!$B$22)</f>
        <v>6</v>
      </c>
      <c r="F49" s="7" t="n">
        <v>0.75</v>
      </c>
      <c r="G49" s="7" t="n">
        <f aca="false">E49-F49</f>
        <v>5.25</v>
      </c>
      <c r="H49" s="7" t="n">
        <v>0</v>
      </c>
      <c r="I49" s="7" t="n">
        <f aca="false">G49-H49</f>
        <v>5.25</v>
      </c>
      <c r="J49" s="6" t="s">
        <v>27</v>
      </c>
      <c r="K49" s="5" t="n">
        <f aca="false">INDEX(Parametros!$C$16:$C$18,MATCH($C49,Parametros!$A$16:$A$18,0))</f>
        <v>95</v>
      </c>
      <c r="L49" s="5" t="n">
        <f aca="false">I49*K49</f>
        <v>498.75</v>
      </c>
      <c r="M49" s="5" t="n">
        <v>364</v>
      </c>
      <c r="N49" s="5" t="n">
        <v>356</v>
      </c>
      <c r="O49" s="5" t="n">
        <f aca="false">M49-N49</f>
        <v>8</v>
      </c>
      <c r="P49" s="8" t="n">
        <f aca="false">IFERROR(I49/G49,0)</f>
        <v>1</v>
      </c>
      <c r="Q49" s="8" t="n">
        <f aca="false">IFERROR(M49/L49,0)</f>
        <v>0.729824561403509</v>
      </c>
      <c r="R49" s="8" t="n">
        <f aca="false">IFERROR(N49/M49,0)</f>
        <v>0.978021978021978</v>
      </c>
      <c r="S49" s="8" t="n">
        <f aca="false">P49*Q49*R49</f>
        <v>0.713784461152882</v>
      </c>
    </row>
    <row r="50" customFormat="false" ht="15" hidden="false" customHeight="false" outlineLevel="0" collapsed="false">
      <c r="A50" s="4" t="n">
        <v>46041</v>
      </c>
      <c r="B50" s="5" t="n">
        <f aca="false">MONTH($A50)</f>
        <v>1</v>
      </c>
      <c r="C50" s="5" t="n">
        <v>3</v>
      </c>
      <c r="D50" s="6" t="str">
        <f aca="false">INDEX(Parametros!$B$16:$B$18,MATCH($C50,Parametros!$A$16:$A$18,0))</f>
        <v>E3 - Sellado y etiquetado</v>
      </c>
      <c r="E50" s="7" t="n">
        <f aca="false">IF(WEEKDAY($A50,2)&lt;6,Parametros!$B$21,Parametros!$B$22)</f>
        <v>6</v>
      </c>
      <c r="F50" s="7" t="n">
        <v>0.25</v>
      </c>
      <c r="G50" s="7" t="n">
        <f aca="false">E50-F50</f>
        <v>5.75</v>
      </c>
      <c r="H50" s="7" t="n">
        <v>0.5</v>
      </c>
      <c r="I50" s="7" t="n">
        <f aca="false">G50-H50</f>
        <v>5.25</v>
      </c>
      <c r="J50" s="6" t="s">
        <v>23</v>
      </c>
      <c r="K50" s="5" t="n">
        <f aca="false">INDEX(Parametros!$C$16:$C$18,MATCH($C50,Parametros!$A$16:$A$18,0))</f>
        <v>95</v>
      </c>
      <c r="L50" s="5" t="n">
        <f aca="false">I50*K50</f>
        <v>498.75</v>
      </c>
      <c r="M50" s="5" t="n">
        <v>356</v>
      </c>
      <c r="N50" s="5" t="n">
        <v>350</v>
      </c>
      <c r="O50" s="5" t="n">
        <f aca="false">M50-N50</f>
        <v>6</v>
      </c>
      <c r="P50" s="8" t="n">
        <f aca="false">IFERROR(I50/G50,0)</f>
        <v>0.91304347826087</v>
      </c>
      <c r="Q50" s="8" t="n">
        <f aca="false">IFERROR(M50/L50,0)</f>
        <v>0.713784461152882</v>
      </c>
      <c r="R50" s="8" t="n">
        <f aca="false">IFERROR(N50/M50,0)</f>
        <v>0.98314606741573</v>
      </c>
      <c r="S50" s="8" t="n">
        <f aca="false">P50*Q50*R50</f>
        <v>0.640732265446224</v>
      </c>
    </row>
    <row r="51" customFormat="false" ht="15" hidden="false" customHeight="false" outlineLevel="0" collapsed="false">
      <c r="A51" s="4" t="n">
        <v>46042</v>
      </c>
      <c r="B51" s="5" t="n">
        <f aca="false">MONTH($A51)</f>
        <v>1</v>
      </c>
      <c r="C51" s="5" t="n">
        <v>1</v>
      </c>
      <c r="D51" s="6" t="str">
        <f aca="false">INDEX(Parametros!$B$16:$B$18,MATCH($C51,Parametros!$A$16:$A$18,0))</f>
        <v>E1 - Lavado y sanitizado de bidones</v>
      </c>
      <c r="E51" s="7" t="n">
        <f aca="false">IF(WEEKDAY($A51,2)&lt;6,Parametros!$B$21,Parametros!$B$22)</f>
        <v>6</v>
      </c>
      <c r="F51" s="7" t="n">
        <v>0.5</v>
      </c>
      <c r="G51" s="7" t="n">
        <f aca="false">E51-F51</f>
        <v>5.5</v>
      </c>
      <c r="H51" s="7" t="n">
        <v>0.5</v>
      </c>
      <c r="I51" s="7" t="n">
        <f aca="false">G51-H51</f>
        <v>5</v>
      </c>
      <c r="J51" s="6" t="s">
        <v>22</v>
      </c>
      <c r="K51" s="5" t="n">
        <f aca="false">INDEX(Parametros!$C$16:$C$18,MATCH($C51,Parametros!$A$16:$A$18,0))</f>
        <v>100</v>
      </c>
      <c r="L51" s="5" t="n">
        <f aca="false">I51*K51</f>
        <v>500</v>
      </c>
      <c r="M51" s="5" t="n">
        <v>332</v>
      </c>
      <c r="N51" s="5" t="n">
        <v>330</v>
      </c>
      <c r="O51" s="5" t="n">
        <f aca="false">M51-N51</f>
        <v>2</v>
      </c>
      <c r="P51" s="8" t="n">
        <f aca="false">IFERROR(I51/G51,0)</f>
        <v>0.909090909090909</v>
      </c>
      <c r="Q51" s="8" t="n">
        <f aca="false">IFERROR(M51/L51,0)</f>
        <v>0.664</v>
      </c>
      <c r="R51" s="8" t="n">
        <f aca="false">IFERROR(N51/M51,0)</f>
        <v>0.993975903614458</v>
      </c>
      <c r="S51" s="8" t="n">
        <f aca="false">P51*Q51*R51</f>
        <v>0.6</v>
      </c>
    </row>
    <row r="52" customFormat="false" ht="15" hidden="false" customHeight="false" outlineLevel="0" collapsed="false">
      <c r="A52" s="4" t="n">
        <v>46042</v>
      </c>
      <c r="B52" s="5" t="n">
        <f aca="false">MONTH($A52)</f>
        <v>1</v>
      </c>
      <c r="C52" s="5" t="n">
        <v>2</v>
      </c>
      <c r="D52" s="6" t="str">
        <f aca="false">INDEX(Parametros!$B$16:$B$18,MATCH($C52,Parametros!$A$16:$A$18,0))</f>
        <v>E2 - Llenado y tapado</v>
      </c>
      <c r="E52" s="7" t="n">
        <f aca="false">IF(WEEKDAY($A52,2)&lt;6,Parametros!$B$21,Parametros!$B$22)</f>
        <v>6</v>
      </c>
      <c r="F52" s="7" t="n">
        <v>0.75</v>
      </c>
      <c r="G52" s="7" t="n">
        <f aca="false">E52-F52</f>
        <v>5.25</v>
      </c>
      <c r="H52" s="7" t="n">
        <v>1</v>
      </c>
      <c r="I52" s="7" t="n">
        <f aca="false">G52-H52</f>
        <v>4.25</v>
      </c>
      <c r="J52" s="6" t="s">
        <v>28</v>
      </c>
      <c r="K52" s="5" t="n">
        <f aca="false">INDEX(Parametros!$C$16:$C$18,MATCH($C52,Parametros!$A$16:$A$18,0))</f>
        <v>95</v>
      </c>
      <c r="L52" s="5" t="n">
        <f aca="false">I52*K52</f>
        <v>403.75</v>
      </c>
      <c r="M52" s="5" t="n">
        <v>330</v>
      </c>
      <c r="N52" s="5" t="n">
        <v>325</v>
      </c>
      <c r="O52" s="5" t="n">
        <f aca="false">M52-N52</f>
        <v>5</v>
      </c>
      <c r="P52" s="8" t="n">
        <f aca="false">IFERROR(I52/G52,0)</f>
        <v>0.80952380952381</v>
      </c>
      <c r="Q52" s="8" t="n">
        <f aca="false">IFERROR(M52/L52,0)</f>
        <v>0.81733746130031</v>
      </c>
      <c r="R52" s="8" t="n">
        <f aca="false">IFERROR(N52/M52,0)</f>
        <v>0.984848484848485</v>
      </c>
      <c r="S52" s="8" t="n">
        <f aca="false">P52*Q52*R52</f>
        <v>0.651629072681704</v>
      </c>
    </row>
    <row r="53" customFormat="false" ht="15" hidden="false" customHeight="false" outlineLevel="0" collapsed="false">
      <c r="A53" s="4" t="n">
        <v>46042</v>
      </c>
      <c r="B53" s="5" t="n">
        <f aca="false">MONTH($A53)</f>
        <v>1</v>
      </c>
      <c r="C53" s="5" t="n">
        <v>3</v>
      </c>
      <c r="D53" s="6" t="str">
        <f aca="false">INDEX(Parametros!$B$16:$B$18,MATCH($C53,Parametros!$A$16:$A$18,0))</f>
        <v>E3 - Sellado y etiquetado</v>
      </c>
      <c r="E53" s="7" t="n">
        <f aca="false">IF(WEEKDAY($A53,2)&lt;6,Parametros!$B$21,Parametros!$B$22)</f>
        <v>6</v>
      </c>
      <c r="F53" s="7" t="n">
        <v>0.25</v>
      </c>
      <c r="G53" s="7" t="n">
        <f aca="false">E53-F53</f>
        <v>5.75</v>
      </c>
      <c r="H53" s="7" t="n">
        <v>0.5</v>
      </c>
      <c r="I53" s="7" t="n">
        <f aca="false">G53-H53</f>
        <v>5.25</v>
      </c>
      <c r="J53" s="6" t="s">
        <v>25</v>
      </c>
      <c r="K53" s="5" t="n">
        <f aca="false">INDEX(Parametros!$C$16:$C$18,MATCH($C53,Parametros!$A$16:$A$18,0))</f>
        <v>95</v>
      </c>
      <c r="L53" s="5" t="n">
        <f aca="false">I53*K53</f>
        <v>498.75</v>
      </c>
      <c r="M53" s="5" t="n">
        <v>325</v>
      </c>
      <c r="N53" s="5" t="n">
        <v>322</v>
      </c>
      <c r="O53" s="5" t="n">
        <f aca="false">M53-N53</f>
        <v>3</v>
      </c>
      <c r="P53" s="8" t="n">
        <f aca="false">IFERROR(I53/G53,0)</f>
        <v>0.91304347826087</v>
      </c>
      <c r="Q53" s="8" t="n">
        <f aca="false">IFERROR(M53/L53,0)</f>
        <v>0.651629072681704</v>
      </c>
      <c r="R53" s="8" t="n">
        <f aca="false">IFERROR(N53/M53,0)</f>
        <v>0.990769230769231</v>
      </c>
      <c r="S53" s="8" t="n">
        <f aca="false">P53*Q53*R53</f>
        <v>0.589473684210526</v>
      </c>
    </row>
    <row r="54" customFormat="false" ht="15" hidden="false" customHeight="false" outlineLevel="0" collapsed="false">
      <c r="A54" s="4" t="n">
        <v>46043</v>
      </c>
      <c r="B54" s="5" t="n">
        <f aca="false">MONTH($A54)</f>
        <v>1</v>
      </c>
      <c r="C54" s="5" t="n">
        <v>1</v>
      </c>
      <c r="D54" s="6" t="str">
        <f aca="false">INDEX(Parametros!$B$16:$B$18,MATCH($C54,Parametros!$A$16:$A$18,0))</f>
        <v>E1 - Lavado y sanitizado de bidones</v>
      </c>
      <c r="E54" s="7" t="n">
        <f aca="false">IF(WEEKDAY($A54,2)&lt;6,Parametros!$B$21,Parametros!$B$22)</f>
        <v>6</v>
      </c>
      <c r="F54" s="7" t="n">
        <v>0.5</v>
      </c>
      <c r="G54" s="7" t="n">
        <f aca="false">E54-F54</f>
        <v>5.5</v>
      </c>
      <c r="H54" s="7" t="n">
        <v>0.5</v>
      </c>
      <c r="I54" s="7" t="n">
        <f aca="false">G54-H54</f>
        <v>5</v>
      </c>
      <c r="J54" s="6" t="s">
        <v>30</v>
      </c>
      <c r="K54" s="5" t="n">
        <f aca="false">INDEX(Parametros!$C$16:$C$18,MATCH($C54,Parametros!$A$16:$A$18,0))</f>
        <v>100</v>
      </c>
      <c r="L54" s="5" t="n">
        <f aca="false">I54*K54</f>
        <v>500</v>
      </c>
      <c r="M54" s="5" t="n">
        <v>361</v>
      </c>
      <c r="N54" s="5" t="n">
        <v>358</v>
      </c>
      <c r="O54" s="5" t="n">
        <f aca="false">M54-N54</f>
        <v>3</v>
      </c>
      <c r="P54" s="8" t="n">
        <f aca="false">IFERROR(I54/G54,0)</f>
        <v>0.909090909090909</v>
      </c>
      <c r="Q54" s="8" t="n">
        <f aca="false">IFERROR(M54/L54,0)</f>
        <v>0.722</v>
      </c>
      <c r="R54" s="8" t="n">
        <f aca="false">IFERROR(N54/M54,0)</f>
        <v>0.991689750692521</v>
      </c>
      <c r="S54" s="8" t="n">
        <f aca="false">P54*Q54*R54</f>
        <v>0.650909090909091</v>
      </c>
    </row>
    <row r="55" customFormat="false" ht="15" hidden="false" customHeight="false" outlineLevel="0" collapsed="false">
      <c r="A55" s="4" t="n">
        <v>46043</v>
      </c>
      <c r="B55" s="5" t="n">
        <f aca="false">MONTH($A55)</f>
        <v>1</v>
      </c>
      <c r="C55" s="5" t="n">
        <v>2</v>
      </c>
      <c r="D55" s="6" t="str">
        <f aca="false">INDEX(Parametros!$B$16:$B$18,MATCH($C55,Parametros!$A$16:$A$18,0))</f>
        <v>E2 - Llenado y tapado</v>
      </c>
      <c r="E55" s="7" t="n">
        <f aca="false">IF(WEEKDAY($A55,2)&lt;6,Parametros!$B$21,Parametros!$B$22)</f>
        <v>6</v>
      </c>
      <c r="F55" s="7" t="n">
        <v>0.75</v>
      </c>
      <c r="G55" s="7" t="n">
        <f aca="false">E55-F55</f>
        <v>5.25</v>
      </c>
      <c r="H55" s="7" t="n">
        <v>0</v>
      </c>
      <c r="I55" s="7" t="n">
        <f aca="false">G55-H55</f>
        <v>5.25</v>
      </c>
      <c r="J55" s="6" t="s">
        <v>27</v>
      </c>
      <c r="K55" s="5" t="n">
        <f aca="false">INDEX(Parametros!$C$16:$C$18,MATCH($C55,Parametros!$A$16:$A$18,0))</f>
        <v>95</v>
      </c>
      <c r="L55" s="5" t="n">
        <f aca="false">I55*K55</f>
        <v>498.75</v>
      </c>
      <c r="M55" s="5" t="n">
        <v>358</v>
      </c>
      <c r="N55" s="5" t="n">
        <v>351</v>
      </c>
      <c r="O55" s="5" t="n">
        <f aca="false">M55-N55</f>
        <v>7</v>
      </c>
      <c r="P55" s="8" t="n">
        <f aca="false">IFERROR(I55/G55,0)</f>
        <v>1</v>
      </c>
      <c r="Q55" s="8" t="n">
        <f aca="false">IFERROR(M55/L55,0)</f>
        <v>0.717794486215539</v>
      </c>
      <c r="R55" s="8" t="n">
        <f aca="false">IFERROR(N55/M55,0)</f>
        <v>0.980446927374302</v>
      </c>
      <c r="S55" s="8" t="n">
        <f aca="false">P55*Q55*R55</f>
        <v>0.703759398496241</v>
      </c>
    </row>
    <row r="56" customFormat="false" ht="15" hidden="false" customHeight="false" outlineLevel="0" collapsed="false">
      <c r="A56" s="4" t="n">
        <v>46043</v>
      </c>
      <c r="B56" s="5" t="n">
        <f aca="false">MONTH($A56)</f>
        <v>1</v>
      </c>
      <c r="C56" s="5" t="n">
        <v>3</v>
      </c>
      <c r="D56" s="6" t="str">
        <f aca="false">INDEX(Parametros!$B$16:$B$18,MATCH($C56,Parametros!$A$16:$A$18,0))</f>
        <v>E3 - Sellado y etiquetado</v>
      </c>
      <c r="E56" s="7" t="n">
        <f aca="false">IF(WEEKDAY($A56,2)&lt;6,Parametros!$B$21,Parametros!$B$22)</f>
        <v>6</v>
      </c>
      <c r="F56" s="7" t="n">
        <v>0.25</v>
      </c>
      <c r="G56" s="7" t="n">
        <f aca="false">E56-F56</f>
        <v>5.75</v>
      </c>
      <c r="H56" s="7" t="n">
        <v>0</v>
      </c>
      <c r="I56" s="7" t="n">
        <f aca="false">G56-H56</f>
        <v>5.75</v>
      </c>
      <c r="J56" s="6" t="s">
        <v>27</v>
      </c>
      <c r="K56" s="5" t="n">
        <f aca="false">INDEX(Parametros!$C$16:$C$18,MATCH($C56,Parametros!$A$16:$A$18,0))</f>
        <v>95</v>
      </c>
      <c r="L56" s="5" t="n">
        <f aca="false">I56*K56</f>
        <v>546.25</v>
      </c>
      <c r="M56" s="5" t="n">
        <v>351</v>
      </c>
      <c r="N56" s="5" t="n">
        <v>348</v>
      </c>
      <c r="O56" s="5" t="n">
        <f aca="false">M56-N56</f>
        <v>3</v>
      </c>
      <c r="P56" s="8" t="n">
        <f aca="false">IFERROR(I56/G56,0)</f>
        <v>1</v>
      </c>
      <c r="Q56" s="8" t="n">
        <f aca="false">IFERROR(M56/L56,0)</f>
        <v>0.642562929061785</v>
      </c>
      <c r="R56" s="8" t="n">
        <f aca="false">IFERROR(N56/M56,0)</f>
        <v>0.991452991452992</v>
      </c>
      <c r="S56" s="8" t="n">
        <f aca="false">P56*Q56*R56</f>
        <v>0.637070938215103</v>
      </c>
    </row>
    <row r="57" customFormat="false" ht="15" hidden="false" customHeight="false" outlineLevel="0" collapsed="false">
      <c r="A57" s="4" t="n">
        <v>46044</v>
      </c>
      <c r="B57" s="5" t="n">
        <f aca="false">MONTH($A57)</f>
        <v>1</v>
      </c>
      <c r="C57" s="5" t="n">
        <v>1</v>
      </c>
      <c r="D57" s="6" t="str">
        <f aca="false">INDEX(Parametros!$B$16:$B$18,MATCH($C57,Parametros!$A$16:$A$18,0))</f>
        <v>E1 - Lavado y sanitizado de bidones</v>
      </c>
      <c r="E57" s="7" t="n">
        <f aca="false">IF(WEEKDAY($A57,2)&lt;6,Parametros!$B$21,Parametros!$B$22)</f>
        <v>6</v>
      </c>
      <c r="F57" s="7" t="n">
        <v>0.5</v>
      </c>
      <c r="G57" s="7" t="n">
        <f aca="false">E57-F57</f>
        <v>5.5</v>
      </c>
      <c r="H57" s="7" t="n">
        <v>0</v>
      </c>
      <c r="I57" s="7" t="n">
        <f aca="false">G57-H57</f>
        <v>5.5</v>
      </c>
      <c r="J57" s="6" t="s">
        <v>27</v>
      </c>
      <c r="K57" s="5" t="n">
        <f aca="false">INDEX(Parametros!$C$16:$C$18,MATCH($C57,Parametros!$A$16:$A$18,0))</f>
        <v>100</v>
      </c>
      <c r="L57" s="5" t="n">
        <f aca="false">I57*K57</f>
        <v>550</v>
      </c>
      <c r="M57" s="5" t="n">
        <v>358</v>
      </c>
      <c r="N57" s="5" t="n">
        <v>355</v>
      </c>
      <c r="O57" s="5" t="n">
        <f aca="false">M57-N57</f>
        <v>3</v>
      </c>
      <c r="P57" s="8" t="n">
        <f aca="false">IFERROR(I57/G57,0)</f>
        <v>1</v>
      </c>
      <c r="Q57" s="8" t="n">
        <f aca="false">IFERROR(M57/L57,0)</f>
        <v>0.650909090909091</v>
      </c>
      <c r="R57" s="8" t="n">
        <f aca="false">IFERROR(N57/M57,0)</f>
        <v>0.991620111731844</v>
      </c>
      <c r="S57" s="8" t="n">
        <f aca="false">P57*Q57*R57</f>
        <v>0.645454545454546</v>
      </c>
    </row>
    <row r="58" customFormat="false" ht="15" hidden="false" customHeight="false" outlineLevel="0" collapsed="false">
      <c r="A58" s="4" t="n">
        <v>46044</v>
      </c>
      <c r="B58" s="5" t="n">
        <f aca="false">MONTH($A58)</f>
        <v>1</v>
      </c>
      <c r="C58" s="5" t="n">
        <v>2</v>
      </c>
      <c r="D58" s="6" t="str">
        <f aca="false">INDEX(Parametros!$B$16:$B$18,MATCH($C58,Parametros!$A$16:$A$18,0))</f>
        <v>E2 - Llenado y tapado</v>
      </c>
      <c r="E58" s="7" t="n">
        <f aca="false">IF(WEEKDAY($A58,2)&lt;6,Parametros!$B$21,Parametros!$B$22)</f>
        <v>6</v>
      </c>
      <c r="F58" s="7" t="n">
        <v>0.75</v>
      </c>
      <c r="G58" s="7" t="n">
        <f aca="false">E58-F58</f>
        <v>5.25</v>
      </c>
      <c r="H58" s="7" t="n">
        <v>0.5</v>
      </c>
      <c r="I58" s="7" t="n">
        <f aca="false">G58-H58</f>
        <v>4.75</v>
      </c>
      <c r="J58" s="6" t="s">
        <v>28</v>
      </c>
      <c r="K58" s="5" t="n">
        <f aca="false">INDEX(Parametros!$C$16:$C$18,MATCH($C58,Parametros!$A$16:$A$18,0))</f>
        <v>95</v>
      </c>
      <c r="L58" s="5" t="n">
        <f aca="false">I58*K58</f>
        <v>451.25</v>
      </c>
      <c r="M58" s="5" t="n">
        <v>355</v>
      </c>
      <c r="N58" s="5" t="n">
        <v>348</v>
      </c>
      <c r="O58" s="5" t="n">
        <f aca="false">M58-N58</f>
        <v>7</v>
      </c>
      <c r="P58" s="8" t="n">
        <f aca="false">IFERROR(I58/G58,0)</f>
        <v>0.904761904761905</v>
      </c>
      <c r="Q58" s="8" t="n">
        <f aca="false">IFERROR(M58/L58,0)</f>
        <v>0.786703601108033</v>
      </c>
      <c r="R58" s="8" t="n">
        <f aca="false">IFERROR(N58/M58,0)</f>
        <v>0.980281690140845</v>
      </c>
      <c r="S58" s="8" t="n">
        <f aca="false">P58*Q58*R58</f>
        <v>0.697744360902256</v>
      </c>
    </row>
    <row r="59" customFormat="false" ht="15" hidden="false" customHeight="false" outlineLevel="0" collapsed="false">
      <c r="A59" s="4" t="n">
        <v>46044</v>
      </c>
      <c r="B59" s="5" t="n">
        <f aca="false">MONTH($A59)</f>
        <v>1</v>
      </c>
      <c r="C59" s="5" t="n">
        <v>3</v>
      </c>
      <c r="D59" s="6" t="str">
        <f aca="false">INDEX(Parametros!$B$16:$B$18,MATCH($C59,Parametros!$A$16:$A$18,0))</f>
        <v>E3 - Sellado y etiquetado</v>
      </c>
      <c r="E59" s="7" t="n">
        <f aca="false">IF(WEEKDAY($A59,2)&lt;6,Parametros!$B$21,Parametros!$B$22)</f>
        <v>6</v>
      </c>
      <c r="F59" s="7" t="n">
        <v>0.25</v>
      </c>
      <c r="G59" s="7" t="n">
        <f aca="false">E59-F59</f>
        <v>5.75</v>
      </c>
      <c r="H59" s="7" t="n">
        <v>0</v>
      </c>
      <c r="I59" s="7" t="n">
        <f aca="false">G59-H59</f>
        <v>5.75</v>
      </c>
      <c r="J59" s="6" t="s">
        <v>27</v>
      </c>
      <c r="K59" s="5" t="n">
        <f aca="false">INDEX(Parametros!$C$16:$C$18,MATCH($C59,Parametros!$A$16:$A$18,0))</f>
        <v>95</v>
      </c>
      <c r="L59" s="5" t="n">
        <f aca="false">I59*K59</f>
        <v>546.25</v>
      </c>
      <c r="M59" s="5" t="n">
        <v>348</v>
      </c>
      <c r="N59" s="5" t="n">
        <v>345</v>
      </c>
      <c r="O59" s="5" t="n">
        <f aca="false">M59-N59</f>
        <v>3</v>
      </c>
      <c r="P59" s="8" t="n">
        <f aca="false">IFERROR(I59/G59,0)</f>
        <v>1</v>
      </c>
      <c r="Q59" s="8" t="n">
        <f aca="false">IFERROR(M59/L59,0)</f>
        <v>0.637070938215103</v>
      </c>
      <c r="R59" s="8" t="n">
        <f aca="false">IFERROR(N59/M59,0)</f>
        <v>0.991379310344828</v>
      </c>
      <c r="S59" s="8" t="n">
        <f aca="false">P59*Q59*R59</f>
        <v>0.631578947368421</v>
      </c>
    </row>
    <row r="60" customFormat="false" ht="15" hidden="false" customHeight="false" outlineLevel="0" collapsed="false">
      <c r="A60" s="4" t="n">
        <v>46045</v>
      </c>
      <c r="B60" s="5" t="n">
        <f aca="false">MONTH($A60)</f>
        <v>1</v>
      </c>
      <c r="C60" s="5" t="n">
        <v>1</v>
      </c>
      <c r="D60" s="6" t="str">
        <f aca="false">INDEX(Parametros!$B$16:$B$18,MATCH($C60,Parametros!$A$16:$A$18,0))</f>
        <v>E1 - Lavado y sanitizado de bidones</v>
      </c>
      <c r="E60" s="7" t="n">
        <f aca="false">IF(WEEKDAY($A60,2)&lt;6,Parametros!$B$21,Parametros!$B$22)</f>
        <v>6</v>
      </c>
      <c r="F60" s="7" t="n">
        <v>0.5</v>
      </c>
      <c r="G60" s="7" t="n">
        <f aca="false">E60-F60</f>
        <v>5.5</v>
      </c>
      <c r="H60" s="7" t="n">
        <v>0</v>
      </c>
      <c r="I60" s="7" t="n">
        <f aca="false">G60-H60</f>
        <v>5.5</v>
      </c>
      <c r="J60" s="6" t="s">
        <v>27</v>
      </c>
      <c r="K60" s="5" t="n">
        <f aca="false">INDEX(Parametros!$C$16:$C$18,MATCH($C60,Parametros!$A$16:$A$18,0))</f>
        <v>100</v>
      </c>
      <c r="L60" s="5" t="n">
        <f aca="false">I60*K60</f>
        <v>550</v>
      </c>
      <c r="M60" s="5" t="n">
        <v>386</v>
      </c>
      <c r="N60" s="5" t="n">
        <v>382</v>
      </c>
      <c r="O60" s="5" t="n">
        <f aca="false">M60-N60</f>
        <v>4</v>
      </c>
      <c r="P60" s="8" t="n">
        <f aca="false">IFERROR(I60/G60,0)</f>
        <v>1</v>
      </c>
      <c r="Q60" s="8" t="n">
        <f aca="false">IFERROR(M60/L60,0)</f>
        <v>0.701818181818182</v>
      </c>
      <c r="R60" s="8" t="n">
        <f aca="false">IFERROR(N60/M60,0)</f>
        <v>0.989637305699482</v>
      </c>
      <c r="S60" s="8" t="n">
        <f aca="false">P60*Q60*R60</f>
        <v>0.694545454545455</v>
      </c>
    </row>
    <row r="61" customFormat="false" ht="15" hidden="false" customHeight="false" outlineLevel="0" collapsed="false">
      <c r="A61" s="4" t="n">
        <v>46045</v>
      </c>
      <c r="B61" s="5" t="n">
        <f aca="false">MONTH($A61)</f>
        <v>1</v>
      </c>
      <c r="C61" s="5" t="n">
        <v>2</v>
      </c>
      <c r="D61" s="6" t="str">
        <f aca="false">INDEX(Parametros!$B$16:$B$18,MATCH($C61,Parametros!$A$16:$A$18,0))</f>
        <v>E2 - Llenado y tapado</v>
      </c>
      <c r="E61" s="7" t="n">
        <f aca="false">IF(WEEKDAY($A61,2)&lt;6,Parametros!$B$21,Parametros!$B$22)</f>
        <v>6</v>
      </c>
      <c r="F61" s="7" t="n">
        <v>0.75</v>
      </c>
      <c r="G61" s="7" t="n">
        <f aca="false">E61-F61</f>
        <v>5.25</v>
      </c>
      <c r="H61" s="7" t="n">
        <v>0.5</v>
      </c>
      <c r="I61" s="7" t="n">
        <f aca="false">G61-H61</f>
        <v>4.75</v>
      </c>
      <c r="J61" s="6" t="s">
        <v>28</v>
      </c>
      <c r="K61" s="5" t="n">
        <f aca="false">INDEX(Parametros!$C$16:$C$18,MATCH($C61,Parametros!$A$16:$A$18,0))</f>
        <v>95</v>
      </c>
      <c r="L61" s="5" t="n">
        <f aca="false">I61*K61</f>
        <v>451.25</v>
      </c>
      <c r="M61" s="5" t="n">
        <v>382</v>
      </c>
      <c r="N61" s="5" t="n">
        <v>376</v>
      </c>
      <c r="O61" s="5" t="n">
        <f aca="false">M61-N61</f>
        <v>6</v>
      </c>
      <c r="P61" s="8" t="n">
        <f aca="false">IFERROR(I61/G61,0)</f>
        <v>0.904761904761905</v>
      </c>
      <c r="Q61" s="8" t="n">
        <f aca="false">IFERROR(M61/L61,0)</f>
        <v>0.846537396121884</v>
      </c>
      <c r="R61" s="8" t="n">
        <f aca="false">IFERROR(N61/M61,0)</f>
        <v>0.984293193717278</v>
      </c>
      <c r="S61" s="8" t="n">
        <f aca="false">P61*Q61*R61</f>
        <v>0.753884711779449</v>
      </c>
    </row>
    <row r="62" customFormat="false" ht="15" hidden="false" customHeight="false" outlineLevel="0" collapsed="false">
      <c r="A62" s="4" t="n">
        <v>46045</v>
      </c>
      <c r="B62" s="5" t="n">
        <f aca="false">MONTH($A62)</f>
        <v>1</v>
      </c>
      <c r="C62" s="5" t="n">
        <v>3</v>
      </c>
      <c r="D62" s="6" t="str">
        <f aca="false">INDEX(Parametros!$B$16:$B$18,MATCH($C62,Parametros!$A$16:$A$18,0))</f>
        <v>E3 - Sellado y etiquetado</v>
      </c>
      <c r="E62" s="7" t="n">
        <f aca="false">IF(WEEKDAY($A62,2)&lt;6,Parametros!$B$21,Parametros!$B$22)</f>
        <v>6</v>
      </c>
      <c r="F62" s="7" t="n">
        <v>0.25</v>
      </c>
      <c r="G62" s="7" t="n">
        <f aca="false">E62-F62</f>
        <v>5.75</v>
      </c>
      <c r="H62" s="7" t="n">
        <v>0.25</v>
      </c>
      <c r="I62" s="7" t="n">
        <f aca="false">G62-H62</f>
        <v>5.5</v>
      </c>
      <c r="J62" s="6" t="s">
        <v>23</v>
      </c>
      <c r="K62" s="5" t="n">
        <f aca="false">INDEX(Parametros!$C$16:$C$18,MATCH($C62,Parametros!$A$16:$A$18,0))</f>
        <v>95</v>
      </c>
      <c r="L62" s="5" t="n">
        <f aca="false">I62*K62</f>
        <v>522.5</v>
      </c>
      <c r="M62" s="5" t="n">
        <v>376</v>
      </c>
      <c r="N62" s="5" t="n">
        <v>375</v>
      </c>
      <c r="O62" s="5" t="n">
        <f aca="false">M62-N62</f>
        <v>1</v>
      </c>
      <c r="P62" s="8" t="n">
        <f aca="false">IFERROR(I62/G62,0)</f>
        <v>0.956521739130435</v>
      </c>
      <c r="Q62" s="8" t="n">
        <f aca="false">IFERROR(M62/L62,0)</f>
        <v>0.719617224880383</v>
      </c>
      <c r="R62" s="8" t="n">
        <f aca="false">IFERROR(N62/M62,0)</f>
        <v>0.997340425531915</v>
      </c>
      <c r="S62" s="8" t="n">
        <f aca="false">P62*Q62*R62</f>
        <v>0.68649885583524</v>
      </c>
    </row>
    <row r="63" customFormat="false" ht="15" hidden="false" customHeight="false" outlineLevel="0" collapsed="false">
      <c r="A63" s="4" t="n">
        <v>46046</v>
      </c>
      <c r="B63" s="5" t="n">
        <f aca="false">MONTH($A63)</f>
        <v>1</v>
      </c>
      <c r="C63" s="5" t="n">
        <v>1</v>
      </c>
      <c r="D63" s="6" t="str">
        <f aca="false">INDEX(Parametros!$B$16:$B$18,MATCH($C63,Parametros!$A$16:$A$18,0))</f>
        <v>E1 - Lavado y sanitizado de bidones</v>
      </c>
      <c r="E63" s="7" t="n">
        <f aca="false">IF(WEEKDAY($A63,2)&lt;6,Parametros!$B$21,Parametros!$B$22)</f>
        <v>4</v>
      </c>
      <c r="F63" s="7" t="n">
        <v>0.75</v>
      </c>
      <c r="G63" s="7" t="n">
        <f aca="false">E63-F63</f>
        <v>3.25</v>
      </c>
      <c r="H63" s="7" t="n">
        <v>0.25</v>
      </c>
      <c r="I63" s="7" t="n">
        <f aca="false">G63-H63</f>
        <v>3</v>
      </c>
      <c r="J63" s="6" t="s">
        <v>22</v>
      </c>
      <c r="K63" s="5" t="n">
        <f aca="false">INDEX(Parametros!$C$16:$C$18,MATCH($C63,Parametros!$A$16:$A$18,0))</f>
        <v>100</v>
      </c>
      <c r="L63" s="5" t="n">
        <f aca="false">I63*K63</f>
        <v>300</v>
      </c>
      <c r="M63" s="5" t="n">
        <v>222</v>
      </c>
      <c r="N63" s="5" t="n">
        <v>220</v>
      </c>
      <c r="O63" s="5" t="n">
        <f aca="false">M63-N63</f>
        <v>2</v>
      </c>
      <c r="P63" s="8" t="n">
        <f aca="false">IFERROR(I63/G63,0)</f>
        <v>0.923076923076923</v>
      </c>
      <c r="Q63" s="8" t="n">
        <f aca="false">IFERROR(M63/L63,0)</f>
        <v>0.74</v>
      </c>
      <c r="R63" s="8" t="n">
        <f aca="false">IFERROR(N63/M63,0)</f>
        <v>0.990990990990991</v>
      </c>
      <c r="S63" s="8" t="n">
        <f aca="false">P63*Q63*R63</f>
        <v>0.676923076923077</v>
      </c>
    </row>
    <row r="64" customFormat="false" ht="15" hidden="false" customHeight="false" outlineLevel="0" collapsed="false">
      <c r="A64" s="4" t="n">
        <v>46046</v>
      </c>
      <c r="B64" s="5" t="n">
        <f aca="false">MONTH($A64)</f>
        <v>1</v>
      </c>
      <c r="C64" s="5" t="n">
        <v>2</v>
      </c>
      <c r="D64" s="6" t="str">
        <f aca="false">INDEX(Parametros!$B$16:$B$18,MATCH($C64,Parametros!$A$16:$A$18,0))</f>
        <v>E2 - Llenado y tapado</v>
      </c>
      <c r="E64" s="7" t="n">
        <f aca="false">IF(WEEKDAY($A64,2)&lt;6,Parametros!$B$21,Parametros!$B$22)</f>
        <v>4</v>
      </c>
      <c r="F64" s="7" t="n">
        <v>1</v>
      </c>
      <c r="G64" s="7" t="n">
        <f aca="false">E64-F64</f>
        <v>3</v>
      </c>
      <c r="H64" s="7" t="n">
        <v>0</v>
      </c>
      <c r="I64" s="7" t="n">
        <f aca="false">G64-H64</f>
        <v>3</v>
      </c>
      <c r="J64" s="6" t="s">
        <v>27</v>
      </c>
      <c r="K64" s="5" t="n">
        <f aca="false">INDEX(Parametros!$C$16:$C$18,MATCH($C64,Parametros!$A$16:$A$18,0))</f>
        <v>95</v>
      </c>
      <c r="L64" s="5" t="n">
        <f aca="false">I64*K64</f>
        <v>285</v>
      </c>
      <c r="M64" s="5" t="n">
        <v>220</v>
      </c>
      <c r="N64" s="5" t="n">
        <v>218</v>
      </c>
      <c r="O64" s="5" t="n">
        <f aca="false">M64-N64</f>
        <v>2</v>
      </c>
      <c r="P64" s="8" t="n">
        <f aca="false">IFERROR(I64/G64,0)</f>
        <v>1</v>
      </c>
      <c r="Q64" s="8" t="n">
        <f aca="false">IFERROR(M64/L64,0)</f>
        <v>0.771929824561404</v>
      </c>
      <c r="R64" s="8" t="n">
        <f aca="false">IFERROR(N64/M64,0)</f>
        <v>0.990909090909091</v>
      </c>
      <c r="S64" s="8" t="n">
        <f aca="false">P64*Q64*R64</f>
        <v>0.764912280701754</v>
      </c>
    </row>
    <row r="65" customFormat="false" ht="15" hidden="false" customHeight="false" outlineLevel="0" collapsed="false">
      <c r="A65" s="4" t="n">
        <v>46046</v>
      </c>
      <c r="B65" s="5" t="n">
        <f aca="false">MONTH($A65)</f>
        <v>1</v>
      </c>
      <c r="C65" s="5" t="n">
        <v>3</v>
      </c>
      <c r="D65" s="6" t="str">
        <f aca="false">INDEX(Parametros!$B$16:$B$18,MATCH($C65,Parametros!$A$16:$A$18,0))</f>
        <v>E3 - Sellado y etiquetado</v>
      </c>
      <c r="E65" s="7" t="n">
        <f aca="false">IF(WEEKDAY($A65,2)&lt;6,Parametros!$B$21,Parametros!$B$22)</f>
        <v>4</v>
      </c>
      <c r="F65" s="7" t="n">
        <v>0.5</v>
      </c>
      <c r="G65" s="7" t="n">
        <f aca="false">E65-F65</f>
        <v>3.5</v>
      </c>
      <c r="H65" s="7" t="n">
        <v>0.25</v>
      </c>
      <c r="I65" s="7" t="n">
        <f aca="false">G65-H65</f>
        <v>3.25</v>
      </c>
      <c r="J65" s="6" t="s">
        <v>26</v>
      </c>
      <c r="K65" s="5" t="n">
        <f aca="false">INDEX(Parametros!$C$16:$C$18,MATCH($C65,Parametros!$A$16:$A$18,0))</f>
        <v>95</v>
      </c>
      <c r="L65" s="5" t="n">
        <f aca="false">I65*K65</f>
        <v>308.75</v>
      </c>
      <c r="M65" s="5" t="n">
        <v>218</v>
      </c>
      <c r="N65" s="5" t="n">
        <v>216</v>
      </c>
      <c r="O65" s="5" t="n">
        <f aca="false">M65-N65</f>
        <v>2</v>
      </c>
      <c r="P65" s="8" t="n">
        <f aca="false">IFERROR(I65/G65,0)</f>
        <v>0.928571428571429</v>
      </c>
      <c r="Q65" s="8" t="n">
        <f aca="false">IFERROR(M65/L65,0)</f>
        <v>0.706072874493927</v>
      </c>
      <c r="R65" s="8" t="n">
        <f aca="false">IFERROR(N65/M65,0)</f>
        <v>0.990825688073395</v>
      </c>
      <c r="S65" s="8" t="n">
        <f aca="false">P65*Q65*R65</f>
        <v>0.649624060150376</v>
      </c>
    </row>
    <row r="66" customFormat="false" ht="15" hidden="false" customHeight="false" outlineLevel="0" collapsed="false">
      <c r="A66" s="4" t="n">
        <v>46048</v>
      </c>
      <c r="B66" s="5" t="n">
        <f aca="false">MONTH($A66)</f>
        <v>1</v>
      </c>
      <c r="C66" s="5" t="n">
        <v>1</v>
      </c>
      <c r="D66" s="6" t="str">
        <f aca="false">INDEX(Parametros!$B$16:$B$18,MATCH($C66,Parametros!$A$16:$A$18,0))</f>
        <v>E1 - Lavado y sanitizado de bidones</v>
      </c>
      <c r="E66" s="7" t="n">
        <f aca="false">IF(WEEKDAY($A66,2)&lt;6,Parametros!$B$21,Parametros!$B$22)</f>
        <v>6</v>
      </c>
      <c r="F66" s="7" t="n">
        <v>0.5</v>
      </c>
      <c r="G66" s="7" t="n">
        <f aca="false">E66-F66</f>
        <v>5.5</v>
      </c>
      <c r="H66" s="7" t="n">
        <v>0.25</v>
      </c>
      <c r="I66" s="7" t="n">
        <f aca="false">G66-H66</f>
        <v>5.25</v>
      </c>
      <c r="J66" s="6" t="s">
        <v>22</v>
      </c>
      <c r="K66" s="5" t="n">
        <f aca="false">INDEX(Parametros!$C$16:$C$18,MATCH($C66,Parametros!$A$16:$A$18,0))</f>
        <v>100</v>
      </c>
      <c r="L66" s="5" t="n">
        <f aca="false">I66*K66</f>
        <v>525</v>
      </c>
      <c r="M66" s="5" t="n">
        <v>331</v>
      </c>
      <c r="N66" s="5" t="n">
        <v>330</v>
      </c>
      <c r="O66" s="5" t="n">
        <f aca="false">M66-N66</f>
        <v>1</v>
      </c>
      <c r="P66" s="8" t="n">
        <f aca="false">IFERROR(I66/G66,0)</f>
        <v>0.954545454545455</v>
      </c>
      <c r="Q66" s="8" t="n">
        <f aca="false">IFERROR(M66/L66,0)</f>
        <v>0.630476190476191</v>
      </c>
      <c r="R66" s="8" t="n">
        <f aca="false">IFERROR(N66/M66,0)</f>
        <v>0.996978851963746</v>
      </c>
      <c r="S66" s="8" t="n">
        <f aca="false">P66*Q66*R66</f>
        <v>0.6</v>
      </c>
    </row>
    <row r="67" customFormat="false" ht="15" hidden="false" customHeight="false" outlineLevel="0" collapsed="false">
      <c r="A67" s="4" t="n">
        <v>46048</v>
      </c>
      <c r="B67" s="5" t="n">
        <f aca="false">MONTH($A67)</f>
        <v>1</v>
      </c>
      <c r="C67" s="5" t="n">
        <v>2</v>
      </c>
      <c r="D67" s="6" t="str">
        <f aca="false">INDEX(Parametros!$B$16:$B$18,MATCH($C67,Parametros!$A$16:$A$18,0))</f>
        <v>E2 - Llenado y tapado</v>
      </c>
      <c r="E67" s="7" t="n">
        <f aca="false">IF(WEEKDAY($A67,2)&lt;6,Parametros!$B$21,Parametros!$B$22)</f>
        <v>6</v>
      </c>
      <c r="F67" s="7" t="n">
        <v>0.75</v>
      </c>
      <c r="G67" s="7" t="n">
        <f aca="false">E67-F67</f>
        <v>5.25</v>
      </c>
      <c r="H67" s="7" t="n">
        <v>1.25</v>
      </c>
      <c r="I67" s="7" t="n">
        <f aca="false">G67-H67</f>
        <v>4</v>
      </c>
      <c r="J67" s="6" t="s">
        <v>23</v>
      </c>
      <c r="K67" s="5" t="n">
        <f aca="false">INDEX(Parametros!$C$16:$C$18,MATCH($C67,Parametros!$A$16:$A$18,0))</f>
        <v>95</v>
      </c>
      <c r="L67" s="5" t="n">
        <f aca="false">I67*K67</f>
        <v>380</v>
      </c>
      <c r="M67" s="5" t="n">
        <v>330</v>
      </c>
      <c r="N67" s="5" t="n">
        <v>326</v>
      </c>
      <c r="O67" s="5" t="n">
        <f aca="false">M67-N67</f>
        <v>4</v>
      </c>
      <c r="P67" s="8" t="n">
        <f aca="false">IFERROR(I67/G67,0)</f>
        <v>0.761904761904762</v>
      </c>
      <c r="Q67" s="8" t="n">
        <f aca="false">IFERROR(M67/L67,0)</f>
        <v>0.868421052631579</v>
      </c>
      <c r="R67" s="8" t="n">
        <f aca="false">IFERROR(N67/M67,0)</f>
        <v>0.987878787878788</v>
      </c>
      <c r="S67" s="8" t="n">
        <f aca="false">P67*Q67*R67</f>
        <v>0.653634085213033</v>
      </c>
    </row>
    <row r="68" customFormat="false" ht="15" hidden="false" customHeight="false" outlineLevel="0" collapsed="false">
      <c r="A68" s="4" t="n">
        <v>46048</v>
      </c>
      <c r="B68" s="5" t="n">
        <f aca="false">MONTH($A68)</f>
        <v>1</v>
      </c>
      <c r="C68" s="5" t="n">
        <v>3</v>
      </c>
      <c r="D68" s="6" t="str">
        <f aca="false">INDEX(Parametros!$B$16:$B$18,MATCH($C68,Parametros!$A$16:$A$18,0))</f>
        <v>E3 - Sellado y etiquetado</v>
      </c>
      <c r="E68" s="7" t="n">
        <f aca="false">IF(WEEKDAY($A68,2)&lt;6,Parametros!$B$21,Parametros!$B$22)</f>
        <v>6</v>
      </c>
      <c r="F68" s="7" t="n">
        <v>0.5</v>
      </c>
      <c r="G68" s="7" t="n">
        <f aca="false">E68-F68</f>
        <v>5.5</v>
      </c>
      <c r="H68" s="7" t="n">
        <v>0</v>
      </c>
      <c r="I68" s="7" t="n">
        <f aca="false">G68-H68</f>
        <v>5.5</v>
      </c>
      <c r="J68" s="6" t="s">
        <v>27</v>
      </c>
      <c r="K68" s="5" t="n">
        <f aca="false">INDEX(Parametros!$C$16:$C$18,MATCH($C68,Parametros!$A$16:$A$18,0))</f>
        <v>95</v>
      </c>
      <c r="L68" s="5" t="n">
        <f aca="false">I68*K68</f>
        <v>522.5</v>
      </c>
      <c r="M68" s="5" t="n">
        <v>326</v>
      </c>
      <c r="N68" s="5" t="n">
        <v>324</v>
      </c>
      <c r="O68" s="5" t="n">
        <f aca="false">M68-N68</f>
        <v>2</v>
      </c>
      <c r="P68" s="8" t="n">
        <f aca="false">IFERROR(I68/G68,0)</f>
        <v>1</v>
      </c>
      <c r="Q68" s="8" t="n">
        <f aca="false">IFERROR(M68/L68,0)</f>
        <v>0.623923444976077</v>
      </c>
      <c r="R68" s="8" t="n">
        <f aca="false">IFERROR(N68/M68,0)</f>
        <v>0.993865030674847</v>
      </c>
      <c r="S68" s="8" t="n">
        <f aca="false">P68*Q68*R68</f>
        <v>0.620095693779904</v>
      </c>
    </row>
    <row r="69" customFormat="false" ht="15" hidden="false" customHeight="false" outlineLevel="0" collapsed="false">
      <c r="A69" s="4" t="n">
        <v>46049</v>
      </c>
      <c r="B69" s="5" t="n">
        <f aca="false">MONTH($A69)</f>
        <v>1</v>
      </c>
      <c r="C69" s="5" t="n">
        <v>1</v>
      </c>
      <c r="D69" s="6" t="str">
        <f aca="false">INDEX(Parametros!$B$16:$B$18,MATCH($C69,Parametros!$A$16:$A$18,0))</f>
        <v>E1 - Lavado y sanitizado de bidones</v>
      </c>
      <c r="E69" s="7" t="n">
        <f aca="false">IF(WEEKDAY($A69,2)&lt;6,Parametros!$B$21,Parametros!$B$22)</f>
        <v>6</v>
      </c>
      <c r="F69" s="7" t="n">
        <v>0.5</v>
      </c>
      <c r="G69" s="7" t="n">
        <f aca="false">E69-F69</f>
        <v>5.5</v>
      </c>
      <c r="H69" s="7" t="n">
        <v>2.25</v>
      </c>
      <c r="I69" s="7" t="n">
        <f aca="false">G69-H69</f>
        <v>3.25</v>
      </c>
      <c r="J69" s="6" t="s">
        <v>22</v>
      </c>
      <c r="K69" s="5" t="n">
        <f aca="false">INDEX(Parametros!$C$16:$C$18,MATCH($C69,Parametros!$A$16:$A$18,0))</f>
        <v>100</v>
      </c>
      <c r="L69" s="5" t="n">
        <f aca="false">I69*K69</f>
        <v>325</v>
      </c>
      <c r="M69" s="5" t="n">
        <v>179</v>
      </c>
      <c r="N69" s="5" t="n">
        <v>176</v>
      </c>
      <c r="O69" s="5" t="n">
        <f aca="false">M69-N69</f>
        <v>3</v>
      </c>
      <c r="P69" s="8" t="n">
        <f aca="false">IFERROR(I69/G69,0)</f>
        <v>0.590909090909091</v>
      </c>
      <c r="Q69" s="8" t="n">
        <f aca="false">IFERROR(M69/L69,0)</f>
        <v>0.550769230769231</v>
      </c>
      <c r="R69" s="8" t="n">
        <f aca="false">IFERROR(N69/M69,0)</f>
        <v>0.983240223463687</v>
      </c>
      <c r="S69" s="8" t="n">
        <f aca="false">P69*Q69*R69</f>
        <v>0.32</v>
      </c>
    </row>
    <row r="70" customFormat="false" ht="15" hidden="false" customHeight="false" outlineLevel="0" collapsed="false">
      <c r="A70" s="4" t="n">
        <v>46049</v>
      </c>
      <c r="B70" s="5" t="n">
        <f aca="false">MONTH($A70)</f>
        <v>1</v>
      </c>
      <c r="C70" s="5" t="n">
        <v>2</v>
      </c>
      <c r="D70" s="6" t="str">
        <f aca="false">INDEX(Parametros!$B$16:$B$18,MATCH($C70,Parametros!$A$16:$A$18,0))</f>
        <v>E2 - Llenado y tapado</v>
      </c>
      <c r="E70" s="7" t="n">
        <f aca="false">IF(WEEKDAY($A70,2)&lt;6,Parametros!$B$21,Parametros!$B$22)</f>
        <v>6</v>
      </c>
      <c r="F70" s="7" t="n">
        <v>0.75</v>
      </c>
      <c r="G70" s="7" t="n">
        <f aca="false">E70-F70</f>
        <v>5.25</v>
      </c>
      <c r="H70" s="7" t="n">
        <v>3</v>
      </c>
      <c r="I70" s="7" t="n">
        <f aca="false">G70-H70</f>
        <v>2.25</v>
      </c>
      <c r="J70" s="6" t="s">
        <v>23</v>
      </c>
      <c r="K70" s="5" t="n">
        <f aca="false">INDEX(Parametros!$C$16:$C$18,MATCH($C70,Parametros!$A$16:$A$18,0))</f>
        <v>95</v>
      </c>
      <c r="L70" s="5" t="n">
        <f aca="false">I70*K70</f>
        <v>213.75</v>
      </c>
      <c r="M70" s="5" t="n">
        <v>176</v>
      </c>
      <c r="N70" s="5" t="n">
        <v>173</v>
      </c>
      <c r="O70" s="5" t="n">
        <f aca="false">M70-N70</f>
        <v>3</v>
      </c>
      <c r="P70" s="8" t="n">
        <f aca="false">IFERROR(I70/G70,0)</f>
        <v>0.428571428571429</v>
      </c>
      <c r="Q70" s="8" t="n">
        <f aca="false">IFERROR(M70/L70,0)</f>
        <v>0.823391812865497</v>
      </c>
      <c r="R70" s="8" t="n">
        <f aca="false">IFERROR(N70/M70,0)</f>
        <v>0.982954545454545</v>
      </c>
      <c r="S70" s="8" t="n">
        <f aca="false">P70*Q70*R70</f>
        <v>0.3468671679198</v>
      </c>
    </row>
    <row r="71" customFormat="false" ht="15" hidden="false" customHeight="false" outlineLevel="0" collapsed="false">
      <c r="A71" s="4" t="n">
        <v>46049</v>
      </c>
      <c r="B71" s="5" t="n">
        <f aca="false">MONTH($A71)</f>
        <v>1</v>
      </c>
      <c r="C71" s="5" t="n">
        <v>3</v>
      </c>
      <c r="D71" s="6" t="str">
        <f aca="false">INDEX(Parametros!$B$16:$B$18,MATCH($C71,Parametros!$A$16:$A$18,0))</f>
        <v>E3 - Sellado y etiquetado</v>
      </c>
      <c r="E71" s="7" t="n">
        <f aca="false">IF(WEEKDAY($A71,2)&lt;6,Parametros!$B$21,Parametros!$B$22)</f>
        <v>6</v>
      </c>
      <c r="F71" s="7" t="n">
        <v>0.25</v>
      </c>
      <c r="G71" s="7" t="n">
        <f aca="false">E71-F71</f>
        <v>5.75</v>
      </c>
      <c r="H71" s="7" t="n">
        <v>2</v>
      </c>
      <c r="I71" s="7" t="n">
        <f aca="false">G71-H71</f>
        <v>3.75</v>
      </c>
      <c r="J71" s="6" t="s">
        <v>29</v>
      </c>
      <c r="K71" s="5" t="n">
        <f aca="false">INDEX(Parametros!$C$16:$C$18,MATCH($C71,Parametros!$A$16:$A$18,0))</f>
        <v>95</v>
      </c>
      <c r="L71" s="5" t="n">
        <f aca="false">I71*K71</f>
        <v>356.25</v>
      </c>
      <c r="M71" s="5" t="n">
        <v>173</v>
      </c>
      <c r="N71" s="5" t="n">
        <v>171</v>
      </c>
      <c r="O71" s="5" t="n">
        <f aca="false">M71-N71</f>
        <v>2</v>
      </c>
      <c r="P71" s="8" t="n">
        <f aca="false">IFERROR(I71/G71,0)</f>
        <v>0.652173913043478</v>
      </c>
      <c r="Q71" s="8" t="n">
        <f aca="false">IFERROR(M71/L71,0)</f>
        <v>0.485614035087719</v>
      </c>
      <c r="R71" s="8" t="n">
        <f aca="false">IFERROR(N71/M71,0)</f>
        <v>0.988439306358382</v>
      </c>
      <c r="S71" s="8" t="n">
        <f aca="false">P71*Q71*R71</f>
        <v>0.31304347826087</v>
      </c>
    </row>
    <row r="72" customFormat="false" ht="15" hidden="false" customHeight="false" outlineLevel="0" collapsed="false">
      <c r="A72" s="4" t="n">
        <v>46050</v>
      </c>
      <c r="B72" s="5" t="n">
        <f aca="false">MONTH($A72)</f>
        <v>1</v>
      </c>
      <c r="C72" s="5" t="n">
        <v>1</v>
      </c>
      <c r="D72" s="6" t="str">
        <f aca="false">INDEX(Parametros!$B$16:$B$18,MATCH($C72,Parametros!$A$16:$A$18,0))</f>
        <v>E1 - Lavado y sanitizado de bidones</v>
      </c>
      <c r="E72" s="7" t="n">
        <f aca="false">IF(WEEKDAY($A72,2)&lt;6,Parametros!$B$21,Parametros!$B$22)</f>
        <v>6</v>
      </c>
      <c r="F72" s="7" t="n">
        <v>0.5</v>
      </c>
      <c r="G72" s="7" t="n">
        <f aca="false">E72-F72</f>
        <v>5.5</v>
      </c>
      <c r="H72" s="7" t="n">
        <v>0.25</v>
      </c>
      <c r="I72" s="7" t="n">
        <f aca="false">G72-H72</f>
        <v>5.25</v>
      </c>
      <c r="J72" s="6" t="s">
        <v>22</v>
      </c>
      <c r="K72" s="5" t="n">
        <f aca="false">INDEX(Parametros!$C$16:$C$18,MATCH($C72,Parametros!$A$16:$A$18,0))</f>
        <v>100</v>
      </c>
      <c r="L72" s="5" t="n">
        <f aca="false">I72*K72</f>
        <v>525</v>
      </c>
      <c r="M72" s="5" t="n">
        <v>371</v>
      </c>
      <c r="N72" s="5" t="n">
        <v>365</v>
      </c>
      <c r="O72" s="5" t="n">
        <f aca="false">M72-N72</f>
        <v>6</v>
      </c>
      <c r="P72" s="8" t="n">
        <f aca="false">IFERROR(I72/G72,0)</f>
        <v>0.954545454545455</v>
      </c>
      <c r="Q72" s="8" t="n">
        <f aca="false">IFERROR(M72/L72,0)</f>
        <v>0.706666666666667</v>
      </c>
      <c r="R72" s="8" t="n">
        <f aca="false">IFERROR(N72/M72,0)</f>
        <v>0.983827493261456</v>
      </c>
      <c r="S72" s="8" t="n">
        <f aca="false">P72*Q72*R72</f>
        <v>0.663636363636364</v>
      </c>
    </row>
    <row r="73" customFormat="false" ht="15" hidden="false" customHeight="false" outlineLevel="0" collapsed="false">
      <c r="A73" s="4" t="n">
        <v>46050</v>
      </c>
      <c r="B73" s="5" t="n">
        <f aca="false">MONTH($A73)</f>
        <v>1</v>
      </c>
      <c r="C73" s="5" t="n">
        <v>2</v>
      </c>
      <c r="D73" s="6" t="str">
        <f aca="false">INDEX(Parametros!$B$16:$B$18,MATCH($C73,Parametros!$A$16:$A$18,0))</f>
        <v>E2 - Llenado y tapado</v>
      </c>
      <c r="E73" s="7" t="n">
        <f aca="false">IF(WEEKDAY($A73,2)&lt;6,Parametros!$B$21,Parametros!$B$22)</f>
        <v>6</v>
      </c>
      <c r="F73" s="7" t="n">
        <v>0.75</v>
      </c>
      <c r="G73" s="7" t="n">
        <f aca="false">E73-F73</f>
        <v>5.25</v>
      </c>
      <c r="H73" s="7" t="n">
        <v>0</v>
      </c>
      <c r="I73" s="7" t="n">
        <f aca="false">G73-H73</f>
        <v>5.25</v>
      </c>
      <c r="J73" s="6" t="s">
        <v>27</v>
      </c>
      <c r="K73" s="5" t="n">
        <f aca="false">INDEX(Parametros!$C$16:$C$18,MATCH($C73,Parametros!$A$16:$A$18,0))</f>
        <v>95</v>
      </c>
      <c r="L73" s="5" t="n">
        <f aca="false">I73*K73</f>
        <v>498.75</v>
      </c>
      <c r="M73" s="5" t="n">
        <v>365</v>
      </c>
      <c r="N73" s="5" t="n">
        <v>358</v>
      </c>
      <c r="O73" s="5" t="n">
        <f aca="false">M73-N73</f>
        <v>7</v>
      </c>
      <c r="P73" s="8" t="n">
        <f aca="false">IFERROR(I73/G73,0)</f>
        <v>1</v>
      </c>
      <c r="Q73" s="8" t="n">
        <f aca="false">IFERROR(M73/L73,0)</f>
        <v>0.731829573934837</v>
      </c>
      <c r="R73" s="8" t="n">
        <f aca="false">IFERROR(N73/M73,0)</f>
        <v>0.980821917808219</v>
      </c>
      <c r="S73" s="8" t="n">
        <f aca="false">P73*Q73*R73</f>
        <v>0.717794486215539</v>
      </c>
    </row>
    <row r="74" customFormat="false" ht="15" hidden="false" customHeight="false" outlineLevel="0" collapsed="false">
      <c r="A74" s="4" t="n">
        <v>46050</v>
      </c>
      <c r="B74" s="5" t="n">
        <f aca="false">MONTH($A74)</f>
        <v>1</v>
      </c>
      <c r="C74" s="5" t="n">
        <v>3</v>
      </c>
      <c r="D74" s="6" t="str">
        <f aca="false">INDEX(Parametros!$B$16:$B$18,MATCH($C74,Parametros!$A$16:$A$18,0))</f>
        <v>E3 - Sellado y etiquetado</v>
      </c>
      <c r="E74" s="7" t="n">
        <f aca="false">IF(WEEKDAY($A74,2)&lt;6,Parametros!$B$21,Parametros!$B$22)</f>
        <v>6</v>
      </c>
      <c r="F74" s="7" t="n">
        <v>0.25</v>
      </c>
      <c r="G74" s="7" t="n">
        <f aca="false">E74-F74</f>
        <v>5.75</v>
      </c>
      <c r="H74" s="7" t="n">
        <v>0</v>
      </c>
      <c r="I74" s="7" t="n">
        <f aca="false">G74-H74</f>
        <v>5.75</v>
      </c>
      <c r="J74" s="6" t="s">
        <v>27</v>
      </c>
      <c r="K74" s="5" t="n">
        <f aca="false">INDEX(Parametros!$C$16:$C$18,MATCH($C74,Parametros!$A$16:$A$18,0))</f>
        <v>95</v>
      </c>
      <c r="L74" s="5" t="n">
        <f aca="false">I74*K74</f>
        <v>546.25</v>
      </c>
      <c r="M74" s="5" t="n">
        <v>358</v>
      </c>
      <c r="N74" s="5" t="n">
        <v>354</v>
      </c>
      <c r="O74" s="5" t="n">
        <f aca="false">M74-N74</f>
        <v>4</v>
      </c>
      <c r="P74" s="8" t="n">
        <f aca="false">IFERROR(I74/G74,0)</f>
        <v>1</v>
      </c>
      <c r="Q74" s="8" t="n">
        <f aca="false">IFERROR(M74/L74,0)</f>
        <v>0.655377574370709</v>
      </c>
      <c r="R74" s="8" t="n">
        <f aca="false">IFERROR(N74/M74,0)</f>
        <v>0.988826815642458</v>
      </c>
      <c r="S74" s="8" t="n">
        <f aca="false">P74*Q74*R74</f>
        <v>0.648054919908467</v>
      </c>
    </row>
    <row r="75" customFormat="false" ht="15" hidden="false" customHeight="false" outlineLevel="0" collapsed="false">
      <c r="A75" s="4" t="n">
        <v>46051</v>
      </c>
      <c r="B75" s="5" t="n">
        <f aca="false">MONTH($A75)</f>
        <v>1</v>
      </c>
      <c r="C75" s="5" t="n">
        <v>1</v>
      </c>
      <c r="D75" s="6" t="str">
        <f aca="false">INDEX(Parametros!$B$16:$B$18,MATCH($C75,Parametros!$A$16:$A$18,0))</f>
        <v>E1 - Lavado y sanitizado de bidones</v>
      </c>
      <c r="E75" s="7" t="n">
        <f aca="false">IF(WEEKDAY($A75,2)&lt;6,Parametros!$B$21,Parametros!$B$22)</f>
        <v>6</v>
      </c>
      <c r="F75" s="7" t="n">
        <v>0.5</v>
      </c>
      <c r="G75" s="7" t="n">
        <f aca="false">E75-F75</f>
        <v>5.5</v>
      </c>
      <c r="H75" s="7" t="n">
        <v>0</v>
      </c>
      <c r="I75" s="7" t="n">
        <f aca="false">G75-H75</f>
        <v>5.5</v>
      </c>
      <c r="J75" s="6" t="s">
        <v>27</v>
      </c>
      <c r="K75" s="5" t="n">
        <f aca="false">INDEX(Parametros!$C$16:$C$18,MATCH($C75,Parametros!$A$16:$A$18,0))</f>
        <v>100</v>
      </c>
      <c r="L75" s="5" t="n">
        <f aca="false">I75*K75</f>
        <v>550</v>
      </c>
      <c r="M75" s="5" t="n">
        <v>369</v>
      </c>
      <c r="N75" s="5" t="n">
        <v>366</v>
      </c>
      <c r="O75" s="5" t="n">
        <f aca="false">M75-N75</f>
        <v>3</v>
      </c>
      <c r="P75" s="8" t="n">
        <f aca="false">IFERROR(I75/G75,0)</f>
        <v>1</v>
      </c>
      <c r="Q75" s="8" t="n">
        <f aca="false">IFERROR(M75/L75,0)</f>
        <v>0.670909090909091</v>
      </c>
      <c r="R75" s="8" t="n">
        <f aca="false">IFERROR(N75/M75,0)</f>
        <v>0.991869918699187</v>
      </c>
      <c r="S75" s="8" t="n">
        <f aca="false">P75*Q75*R75</f>
        <v>0.665454545454545</v>
      </c>
    </row>
    <row r="76" customFormat="false" ht="15" hidden="false" customHeight="false" outlineLevel="0" collapsed="false">
      <c r="A76" s="4" t="n">
        <v>46051</v>
      </c>
      <c r="B76" s="5" t="n">
        <f aca="false">MONTH($A76)</f>
        <v>1</v>
      </c>
      <c r="C76" s="5" t="n">
        <v>2</v>
      </c>
      <c r="D76" s="6" t="str">
        <f aca="false">INDEX(Parametros!$B$16:$B$18,MATCH($C76,Parametros!$A$16:$A$18,0))</f>
        <v>E2 - Llenado y tapado</v>
      </c>
      <c r="E76" s="7" t="n">
        <f aca="false">IF(WEEKDAY($A76,2)&lt;6,Parametros!$B$21,Parametros!$B$22)</f>
        <v>6</v>
      </c>
      <c r="F76" s="7" t="n">
        <v>0.75</v>
      </c>
      <c r="G76" s="7" t="n">
        <f aca="false">E76-F76</f>
        <v>5.25</v>
      </c>
      <c r="H76" s="7" t="n">
        <v>0</v>
      </c>
      <c r="I76" s="7" t="n">
        <f aca="false">G76-H76</f>
        <v>5.25</v>
      </c>
      <c r="J76" s="6" t="s">
        <v>27</v>
      </c>
      <c r="K76" s="5" t="n">
        <f aca="false">INDEX(Parametros!$C$16:$C$18,MATCH($C76,Parametros!$A$16:$A$18,0))</f>
        <v>95</v>
      </c>
      <c r="L76" s="5" t="n">
        <f aca="false">I76*K76</f>
        <v>498.75</v>
      </c>
      <c r="M76" s="5" t="n">
        <v>366</v>
      </c>
      <c r="N76" s="5" t="n">
        <v>357</v>
      </c>
      <c r="O76" s="5" t="n">
        <f aca="false">M76-N76</f>
        <v>9</v>
      </c>
      <c r="P76" s="8" t="n">
        <f aca="false">IFERROR(I76/G76,0)</f>
        <v>1</v>
      </c>
      <c r="Q76" s="8" t="n">
        <f aca="false">IFERROR(M76/L76,0)</f>
        <v>0.733834586466165</v>
      </c>
      <c r="R76" s="8" t="n">
        <f aca="false">IFERROR(N76/M76,0)</f>
        <v>0.975409836065574</v>
      </c>
      <c r="S76" s="8" t="n">
        <f aca="false">P76*Q76*R76</f>
        <v>0.715789473684211</v>
      </c>
    </row>
    <row r="77" customFormat="false" ht="15" hidden="false" customHeight="false" outlineLevel="0" collapsed="false">
      <c r="A77" s="4" t="n">
        <v>46051</v>
      </c>
      <c r="B77" s="5" t="n">
        <f aca="false">MONTH($A77)</f>
        <v>1</v>
      </c>
      <c r="C77" s="5" t="n">
        <v>3</v>
      </c>
      <c r="D77" s="6" t="str">
        <f aca="false">INDEX(Parametros!$B$16:$B$18,MATCH($C77,Parametros!$A$16:$A$18,0))</f>
        <v>E3 - Sellado y etiquetado</v>
      </c>
      <c r="E77" s="7" t="n">
        <f aca="false">IF(WEEKDAY($A77,2)&lt;6,Parametros!$B$21,Parametros!$B$22)</f>
        <v>6</v>
      </c>
      <c r="F77" s="7" t="n">
        <v>0.25</v>
      </c>
      <c r="G77" s="7" t="n">
        <f aca="false">E77-F77</f>
        <v>5.75</v>
      </c>
      <c r="H77" s="7" t="n">
        <v>0.25</v>
      </c>
      <c r="I77" s="7" t="n">
        <f aca="false">G77-H77</f>
        <v>5.5</v>
      </c>
      <c r="J77" s="6" t="s">
        <v>23</v>
      </c>
      <c r="K77" s="5" t="n">
        <f aca="false">INDEX(Parametros!$C$16:$C$18,MATCH($C77,Parametros!$A$16:$A$18,0))</f>
        <v>95</v>
      </c>
      <c r="L77" s="5" t="n">
        <f aca="false">I77*K77</f>
        <v>522.5</v>
      </c>
      <c r="M77" s="5" t="n">
        <v>357</v>
      </c>
      <c r="N77" s="5" t="n">
        <v>354</v>
      </c>
      <c r="O77" s="5" t="n">
        <f aca="false">M77-N77</f>
        <v>3</v>
      </c>
      <c r="P77" s="8" t="n">
        <f aca="false">IFERROR(I77/G77,0)</f>
        <v>0.956521739130435</v>
      </c>
      <c r="Q77" s="8" t="n">
        <f aca="false">IFERROR(M77/L77,0)</f>
        <v>0.683253588516746</v>
      </c>
      <c r="R77" s="8" t="n">
        <f aca="false">IFERROR(N77/M77,0)</f>
        <v>0.991596638655462</v>
      </c>
      <c r="S77" s="8" t="n">
        <f aca="false">P77*Q77*R77</f>
        <v>0.648054919908467</v>
      </c>
    </row>
    <row r="78" customFormat="false" ht="15" hidden="false" customHeight="false" outlineLevel="0" collapsed="false">
      <c r="A78" s="4" t="n">
        <v>46052</v>
      </c>
      <c r="B78" s="5" t="n">
        <f aca="false">MONTH($A78)</f>
        <v>1</v>
      </c>
      <c r="C78" s="5" t="n">
        <v>1</v>
      </c>
      <c r="D78" s="6" t="str">
        <f aca="false">INDEX(Parametros!$B$16:$B$18,MATCH($C78,Parametros!$A$16:$A$18,0))</f>
        <v>E1 - Lavado y sanitizado de bidones</v>
      </c>
      <c r="E78" s="7" t="n">
        <f aca="false">IF(WEEKDAY($A78,2)&lt;6,Parametros!$B$21,Parametros!$B$22)</f>
        <v>6</v>
      </c>
      <c r="F78" s="7" t="n">
        <v>0.75</v>
      </c>
      <c r="G78" s="7" t="n">
        <f aca="false">E78-F78</f>
        <v>5.25</v>
      </c>
      <c r="H78" s="7" t="n">
        <v>2.5</v>
      </c>
      <c r="I78" s="7" t="n">
        <f aca="false">G78-H78</f>
        <v>2.75</v>
      </c>
      <c r="J78" s="6" t="s">
        <v>24</v>
      </c>
      <c r="K78" s="5" t="n">
        <f aca="false">INDEX(Parametros!$C$16:$C$18,MATCH($C78,Parametros!$A$16:$A$18,0))</f>
        <v>100</v>
      </c>
      <c r="L78" s="5" t="n">
        <f aca="false">I78*K78</f>
        <v>275</v>
      </c>
      <c r="M78" s="5" t="n">
        <v>212</v>
      </c>
      <c r="N78" s="5" t="n">
        <v>209</v>
      </c>
      <c r="O78" s="5" t="n">
        <f aca="false">M78-N78</f>
        <v>3</v>
      </c>
      <c r="P78" s="8" t="n">
        <f aca="false">IFERROR(I78/G78,0)</f>
        <v>0.523809523809524</v>
      </c>
      <c r="Q78" s="8" t="n">
        <f aca="false">IFERROR(M78/L78,0)</f>
        <v>0.770909090909091</v>
      </c>
      <c r="R78" s="8" t="n">
        <f aca="false">IFERROR(N78/M78,0)</f>
        <v>0.985849056603774</v>
      </c>
      <c r="S78" s="8" t="n">
        <f aca="false">P78*Q78*R78</f>
        <v>0.398095238095238</v>
      </c>
    </row>
    <row r="79" customFormat="false" ht="15" hidden="false" customHeight="false" outlineLevel="0" collapsed="false">
      <c r="A79" s="4" t="n">
        <v>46052</v>
      </c>
      <c r="B79" s="5" t="n">
        <f aca="false">MONTH($A79)</f>
        <v>1</v>
      </c>
      <c r="C79" s="5" t="n">
        <v>2</v>
      </c>
      <c r="D79" s="6" t="str">
        <f aca="false">INDEX(Parametros!$B$16:$B$18,MATCH($C79,Parametros!$A$16:$A$18,0))</f>
        <v>E2 - Llenado y tapado</v>
      </c>
      <c r="E79" s="7" t="n">
        <f aca="false">IF(WEEKDAY($A79,2)&lt;6,Parametros!$B$21,Parametros!$B$22)</f>
        <v>6</v>
      </c>
      <c r="F79" s="7" t="n">
        <v>0.75</v>
      </c>
      <c r="G79" s="7" t="n">
        <f aca="false">E79-F79</f>
        <v>5.25</v>
      </c>
      <c r="H79" s="7" t="n">
        <v>2.25</v>
      </c>
      <c r="I79" s="7" t="n">
        <f aca="false">G79-H79</f>
        <v>3</v>
      </c>
      <c r="J79" s="6" t="s">
        <v>28</v>
      </c>
      <c r="K79" s="5" t="n">
        <f aca="false">INDEX(Parametros!$C$16:$C$18,MATCH($C79,Parametros!$A$16:$A$18,0))</f>
        <v>95</v>
      </c>
      <c r="L79" s="5" t="n">
        <f aca="false">I79*K79</f>
        <v>285</v>
      </c>
      <c r="M79" s="5" t="n">
        <v>209</v>
      </c>
      <c r="N79" s="5" t="n">
        <v>205</v>
      </c>
      <c r="O79" s="5" t="n">
        <f aca="false">M79-N79</f>
        <v>4</v>
      </c>
      <c r="P79" s="8" t="n">
        <f aca="false">IFERROR(I79/G79,0)</f>
        <v>0.571428571428571</v>
      </c>
      <c r="Q79" s="8" t="n">
        <f aca="false">IFERROR(M79/L79,0)</f>
        <v>0.733333333333333</v>
      </c>
      <c r="R79" s="8" t="n">
        <f aca="false">IFERROR(N79/M79,0)</f>
        <v>0.980861244019139</v>
      </c>
      <c r="S79" s="8" t="n">
        <f aca="false">P79*Q79*R79</f>
        <v>0.411027568922306</v>
      </c>
    </row>
    <row r="80" customFormat="false" ht="15" hidden="false" customHeight="false" outlineLevel="0" collapsed="false">
      <c r="A80" s="4" t="n">
        <v>46052</v>
      </c>
      <c r="B80" s="5" t="n">
        <f aca="false">MONTH($A80)</f>
        <v>1</v>
      </c>
      <c r="C80" s="5" t="n">
        <v>3</v>
      </c>
      <c r="D80" s="6" t="str">
        <f aca="false">INDEX(Parametros!$B$16:$B$18,MATCH($C80,Parametros!$A$16:$A$18,0))</f>
        <v>E3 - Sellado y etiquetado</v>
      </c>
      <c r="E80" s="7" t="n">
        <f aca="false">IF(WEEKDAY($A80,2)&lt;6,Parametros!$B$21,Parametros!$B$22)</f>
        <v>6</v>
      </c>
      <c r="F80" s="7" t="n">
        <v>0.25</v>
      </c>
      <c r="G80" s="7" t="n">
        <f aca="false">E80-F80</f>
        <v>5.75</v>
      </c>
      <c r="H80" s="7" t="n">
        <v>2.25</v>
      </c>
      <c r="I80" s="7" t="n">
        <f aca="false">G80-H80</f>
        <v>3.5</v>
      </c>
      <c r="J80" s="6" t="s">
        <v>26</v>
      </c>
      <c r="K80" s="5" t="n">
        <f aca="false">INDEX(Parametros!$C$16:$C$18,MATCH($C80,Parametros!$A$16:$A$18,0))</f>
        <v>95</v>
      </c>
      <c r="L80" s="5" t="n">
        <f aca="false">I80*K80</f>
        <v>332.5</v>
      </c>
      <c r="M80" s="5" t="n">
        <v>205</v>
      </c>
      <c r="N80" s="5" t="n">
        <v>203</v>
      </c>
      <c r="O80" s="5" t="n">
        <f aca="false">M80-N80</f>
        <v>2</v>
      </c>
      <c r="P80" s="8" t="n">
        <f aca="false">IFERROR(I80/G80,0)</f>
        <v>0.608695652173913</v>
      </c>
      <c r="Q80" s="8" t="n">
        <f aca="false">IFERROR(M80/L80,0)</f>
        <v>0.616541353383459</v>
      </c>
      <c r="R80" s="8" t="n">
        <f aca="false">IFERROR(N80/M80,0)</f>
        <v>0.990243902439024</v>
      </c>
      <c r="S80" s="8" t="n">
        <f aca="false">P80*Q80*R80</f>
        <v>0.37162471395881</v>
      </c>
    </row>
    <row r="81" customFormat="false" ht="15" hidden="false" customHeight="false" outlineLevel="0" collapsed="false">
      <c r="A81" s="4" t="n">
        <v>46053</v>
      </c>
      <c r="B81" s="5" t="n">
        <f aca="false">MONTH($A81)</f>
        <v>1</v>
      </c>
      <c r="C81" s="5" t="n">
        <v>1</v>
      </c>
      <c r="D81" s="6" t="str">
        <f aca="false">INDEX(Parametros!$B$16:$B$18,MATCH($C81,Parametros!$A$16:$A$18,0))</f>
        <v>E1 - Lavado y sanitizado de bidones</v>
      </c>
      <c r="E81" s="7" t="n">
        <f aca="false">IF(WEEKDAY($A81,2)&lt;6,Parametros!$B$21,Parametros!$B$22)</f>
        <v>4</v>
      </c>
      <c r="F81" s="7" t="n">
        <v>0.75</v>
      </c>
      <c r="G81" s="7" t="n">
        <f aca="false">E81-F81</f>
        <v>3.25</v>
      </c>
      <c r="H81" s="7" t="n">
        <v>0.5</v>
      </c>
      <c r="I81" s="7" t="n">
        <f aca="false">G81-H81</f>
        <v>2.75</v>
      </c>
      <c r="J81" s="6" t="s">
        <v>30</v>
      </c>
      <c r="K81" s="5" t="n">
        <f aca="false">INDEX(Parametros!$C$16:$C$18,MATCH($C81,Parametros!$A$16:$A$18,0))</f>
        <v>100</v>
      </c>
      <c r="L81" s="5" t="n">
        <f aca="false">I81*K81</f>
        <v>275</v>
      </c>
      <c r="M81" s="5" t="n">
        <v>150</v>
      </c>
      <c r="N81" s="5" t="n">
        <v>147</v>
      </c>
      <c r="O81" s="5" t="n">
        <f aca="false">M81-N81</f>
        <v>3</v>
      </c>
      <c r="P81" s="8" t="n">
        <f aca="false">IFERROR(I81/G81,0)</f>
        <v>0.846153846153846</v>
      </c>
      <c r="Q81" s="8" t="n">
        <f aca="false">IFERROR(M81/L81,0)</f>
        <v>0.545454545454545</v>
      </c>
      <c r="R81" s="8" t="n">
        <f aca="false">IFERROR(N81/M81,0)</f>
        <v>0.98</v>
      </c>
      <c r="S81" s="8" t="n">
        <f aca="false">P81*Q81*R81</f>
        <v>0.452307692307692</v>
      </c>
    </row>
    <row r="82" customFormat="false" ht="15" hidden="false" customHeight="false" outlineLevel="0" collapsed="false">
      <c r="A82" s="4" t="n">
        <v>46053</v>
      </c>
      <c r="B82" s="5" t="n">
        <f aca="false">MONTH($A82)</f>
        <v>1</v>
      </c>
      <c r="C82" s="5" t="n">
        <v>2</v>
      </c>
      <c r="D82" s="6" t="str">
        <f aca="false">INDEX(Parametros!$B$16:$B$18,MATCH($C82,Parametros!$A$16:$A$18,0))</f>
        <v>E2 - Llenado y tapado</v>
      </c>
      <c r="E82" s="7" t="n">
        <f aca="false">IF(WEEKDAY($A82,2)&lt;6,Parametros!$B$21,Parametros!$B$22)</f>
        <v>4</v>
      </c>
      <c r="F82" s="7" t="n">
        <v>1</v>
      </c>
      <c r="G82" s="7" t="n">
        <f aca="false">E82-F82</f>
        <v>3</v>
      </c>
      <c r="H82" s="7" t="n">
        <v>1.25</v>
      </c>
      <c r="I82" s="7" t="n">
        <f aca="false">G82-H82</f>
        <v>1.75</v>
      </c>
      <c r="J82" s="6" t="s">
        <v>28</v>
      </c>
      <c r="K82" s="5" t="n">
        <f aca="false">INDEX(Parametros!$C$16:$C$18,MATCH($C82,Parametros!$A$16:$A$18,0))</f>
        <v>95</v>
      </c>
      <c r="L82" s="5" t="n">
        <f aca="false">I82*K82</f>
        <v>166.25</v>
      </c>
      <c r="M82" s="5" t="n">
        <v>147</v>
      </c>
      <c r="N82" s="5" t="n">
        <v>145</v>
      </c>
      <c r="O82" s="5" t="n">
        <f aca="false">M82-N82</f>
        <v>2</v>
      </c>
      <c r="P82" s="8" t="n">
        <f aca="false">IFERROR(I82/G82,0)</f>
        <v>0.583333333333333</v>
      </c>
      <c r="Q82" s="8" t="n">
        <f aca="false">IFERROR(M82/L82,0)</f>
        <v>0.884210526315789</v>
      </c>
      <c r="R82" s="8" t="n">
        <f aca="false">IFERROR(N82/M82,0)</f>
        <v>0.986394557823129</v>
      </c>
      <c r="S82" s="8" t="n">
        <f aca="false">P82*Q82*R82</f>
        <v>0.508771929824561</v>
      </c>
    </row>
    <row r="83" customFormat="false" ht="15" hidden="false" customHeight="false" outlineLevel="0" collapsed="false">
      <c r="A83" s="4" t="n">
        <v>46053</v>
      </c>
      <c r="B83" s="5" t="n">
        <f aca="false">MONTH($A83)</f>
        <v>1</v>
      </c>
      <c r="C83" s="5" t="n">
        <v>3</v>
      </c>
      <c r="D83" s="6" t="str">
        <f aca="false">INDEX(Parametros!$B$16:$B$18,MATCH($C83,Parametros!$A$16:$A$18,0))</f>
        <v>E3 - Sellado y etiquetado</v>
      </c>
      <c r="E83" s="7" t="n">
        <f aca="false">IF(WEEKDAY($A83,2)&lt;6,Parametros!$B$21,Parametros!$B$22)</f>
        <v>4</v>
      </c>
      <c r="F83" s="7" t="n">
        <v>0.5</v>
      </c>
      <c r="G83" s="7" t="n">
        <f aca="false">E83-F83</f>
        <v>3.5</v>
      </c>
      <c r="H83" s="7" t="n">
        <v>0.25</v>
      </c>
      <c r="I83" s="7" t="n">
        <f aca="false">G83-H83</f>
        <v>3.25</v>
      </c>
      <c r="J83" s="6" t="s">
        <v>23</v>
      </c>
      <c r="K83" s="5" t="n">
        <f aca="false">INDEX(Parametros!$C$16:$C$18,MATCH($C83,Parametros!$A$16:$A$18,0))</f>
        <v>95</v>
      </c>
      <c r="L83" s="5" t="n">
        <f aca="false">I83*K83</f>
        <v>308.75</v>
      </c>
      <c r="M83" s="5" t="n">
        <v>145</v>
      </c>
      <c r="N83" s="5" t="n">
        <v>143</v>
      </c>
      <c r="O83" s="5" t="n">
        <f aca="false">M83-N83</f>
        <v>2</v>
      </c>
      <c r="P83" s="8" t="n">
        <f aca="false">IFERROR(I83/G83,0)</f>
        <v>0.928571428571429</v>
      </c>
      <c r="Q83" s="8" t="n">
        <f aca="false">IFERROR(M83/L83,0)</f>
        <v>0.469635627530364</v>
      </c>
      <c r="R83" s="8" t="n">
        <f aca="false">IFERROR(N83/M83,0)</f>
        <v>0.986206896551724</v>
      </c>
      <c r="S83" s="8" t="n">
        <f aca="false">P83*Q83*R83</f>
        <v>0.430075187969925</v>
      </c>
    </row>
    <row r="84" customFormat="false" ht="15" hidden="false" customHeight="false" outlineLevel="0" collapsed="false">
      <c r="A84" s="4" t="n">
        <v>46055</v>
      </c>
      <c r="B84" s="5" t="n">
        <f aca="false">MONTH($A84)</f>
        <v>2</v>
      </c>
      <c r="C84" s="5" t="n">
        <v>1</v>
      </c>
      <c r="D84" s="6" t="str">
        <f aca="false">INDEX(Parametros!$B$16:$B$18,MATCH($C84,Parametros!$A$16:$A$18,0))</f>
        <v>E1 - Lavado y sanitizado de bidones</v>
      </c>
      <c r="E84" s="7" t="n">
        <f aca="false">IF(WEEKDAY($A84,2)&lt;6,Parametros!$B$21,Parametros!$B$22)</f>
        <v>6</v>
      </c>
      <c r="F84" s="7" t="n">
        <v>0.5</v>
      </c>
      <c r="G84" s="7" t="n">
        <f aca="false">E84-F84</f>
        <v>5.5</v>
      </c>
      <c r="H84" s="7" t="n">
        <v>0</v>
      </c>
      <c r="I84" s="7" t="n">
        <f aca="false">G84-H84</f>
        <v>5.5</v>
      </c>
      <c r="J84" s="6" t="s">
        <v>27</v>
      </c>
      <c r="K84" s="5" t="n">
        <f aca="false">INDEX(Parametros!$C$16:$C$18,MATCH($C84,Parametros!$A$16:$A$18,0))</f>
        <v>100</v>
      </c>
      <c r="L84" s="5" t="n">
        <f aca="false">I84*K84</f>
        <v>550</v>
      </c>
      <c r="M84" s="5" t="n">
        <v>352</v>
      </c>
      <c r="N84" s="5" t="n">
        <v>347</v>
      </c>
      <c r="O84" s="5" t="n">
        <f aca="false">M84-N84</f>
        <v>5</v>
      </c>
      <c r="P84" s="8" t="n">
        <f aca="false">IFERROR(I84/G84,0)</f>
        <v>1</v>
      </c>
      <c r="Q84" s="8" t="n">
        <f aca="false">IFERROR(M84/L84,0)</f>
        <v>0.64</v>
      </c>
      <c r="R84" s="8" t="n">
        <f aca="false">IFERROR(N84/M84,0)</f>
        <v>0.985795454545455</v>
      </c>
      <c r="S84" s="8" t="n">
        <f aca="false">P84*Q84*R84</f>
        <v>0.630909090909091</v>
      </c>
    </row>
    <row r="85" customFormat="false" ht="15" hidden="false" customHeight="false" outlineLevel="0" collapsed="false">
      <c r="A85" s="4" t="n">
        <v>46055</v>
      </c>
      <c r="B85" s="5" t="n">
        <f aca="false">MONTH($A85)</f>
        <v>2</v>
      </c>
      <c r="C85" s="5" t="n">
        <v>2</v>
      </c>
      <c r="D85" s="6" t="str">
        <f aca="false">INDEX(Parametros!$B$16:$B$18,MATCH($C85,Parametros!$A$16:$A$18,0))</f>
        <v>E2 - Llenado y tapado</v>
      </c>
      <c r="E85" s="7" t="n">
        <f aca="false">IF(WEEKDAY($A85,2)&lt;6,Parametros!$B$21,Parametros!$B$22)</f>
        <v>6</v>
      </c>
      <c r="F85" s="7" t="n">
        <v>0.75</v>
      </c>
      <c r="G85" s="7" t="n">
        <f aca="false">E85-F85</f>
        <v>5.25</v>
      </c>
      <c r="H85" s="7" t="n">
        <v>0.75</v>
      </c>
      <c r="I85" s="7" t="n">
        <f aca="false">G85-H85</f>
        <v>4.5</v>
      </c>
      <c r="J85" s="6" t="s">
        <v>28</v>
      </c>
      <c r="K85" s="5" t="n">
        <f aca="false">INDEX(Parametros!$C$16:$C$18,MATCH($C85,Parametros!$A$16:$A$18,0))</f>
        <v>95</v>
      </c>
      <c r="L85" s="5" t="n">
        <f aca="false">I85*K85</f>
        <v>427.5</v>
      </c>
      <c r="M85" s="5" t="n">
        <v>347</v>
      </c>
      <c r="N85" s="5" t="n">
        <v>341</v>
      </c>
      <c r="O85" s="5" t="n">
        <f aca="false">M85-N85</f>
        <v>6</v>
      </c>
      <c r="P85" s="8" t="n">
        <f aca="false">IFERROR(I85/G85,0)</f>
        <v>0.857142857142857</v>
      </c>
      <c r="Q85" s="8" t="n">
        <f aca="false">IFERROR(M85/L85,0)</f>
        <v>0.811695906432749</v>
      </c>
      <c r="R85" s="8" t="n">
        <f aca="false">IFERROR(N85/M85,0)</f>
        <v>0.982708933717579</v>
      </c>
      <c r="S85" s="8" t="n">
        <f aca="false">P85*Q85*R85</f>
        <v>0.683709273182957</v>
      </c>
    </row>
    <row r="86" customFormat="false" ht="15" hidden="false" customHeight="false" outlineLevel="0" collapsed="false">
      <c r="A86" s="4" t="n">
        <v>46055</v>
      </c>
      <c r="B86" s="5" t="n">
        <f aca="false">MONTH($A86)</f>
        <v>2</v>
      </c>
      <c r="C86" s="5" t="n">
        <v>3</v>
      </c>
      <c r="D86" s="6" t="str">
        <f aca="false">INDEX(Parametros!$B$16:$B$18,MATCH($C86,Parametros!$A$16:$A$18,0))</f>
        <v>E3 - Sellado y etiquetado</v>
      </c>
      <c r="E86" s="7" t="n">
        <f aca="false">IF(WEEKDAY($A86,2)&lt;6,Parametros!$B$21,Parametros!$B$22)</f>
        <v>6</v>
      </c>
      <c r="F86" s="7" t="n">
        <v>0.5</v>
      </c>
      <c r="G86" s="7" t="n">
        <f aca="false">E86-F86</f>
        <v>5.5</v>
      </c>
      <c r="H86" s="7" t="n">
        <v>0</v>
      </c>
      <c r="I86" s="7" t="n">
        <f aca="false">G86-H86</f>
        <v>5.5</v>
      </c>
      <c r="J86" s="6" t="s">
        <v>27</v>
      </c>
      <c r="K86" s="5" t="n">
        <f aca="false">INDEX(Parametros!$C$16:$C$18,MATCH($C86,Parametros!$A$16:$A$18,0))</f>
        <v>95</v>
      </c>
      <c r="L86" s="5" t="n">
        <f aca="false">I86*K86</f>
        <v>522.5</v>
      </c>
      <c r="M86" s="5" t="n">
        <v>341</v>
      </c>
      <c r="N86" s="5" t="n">
        <v>336</v>
      </c>
      <c r="O86" s="5" t="n">
        <f aca="false">M86-N86</f>
        <v>5</v>
      </c>
      <c r="P86" s="8" t="n">
        <f aca="false">IFERROR(I86/G86,0)</f>
        <v>1</v>
      </c>
      <c r="Q86" s="8" t="n">
        <f aca="false">IFERROR(M86/L86,0)</f>
        <v>0.652631578947369</v>
      </c>
      <c r="R86" s="8" t="n">
        <f aca="false">IFERROR(N86/M86,0)</f>
        <v>0.98533724340176</v>
      </c>
      <c r="S86" s="8" t="n">
        <f aca="false">P86*Q86*R86</f>
        <v>0.643062200956938</v>
      </c>
    </row>
    <row r="87" customFormat="false" ht="15" hidden="false" customHeight="false" outlineLevel="0" collapsed="false">
      <c r="A87" s="4" t="n">
        <v>46056</v>
      </c>
      <c r="B87" s="5" t="n">
        <f aca="false">MONTH($A87)</f>
        <v>2</v>
      </c>
      <c r="C87" s="5" t="n">
        <v>1</v>
      </c>
      <c r="D87" s="6" t="str">
        <f aca="false">INDEX(Parametros!$B$16:$B$18,MATCH($C87,Parametros!$A$16:$A$18,0))</f>
        <v>E1 - Lavado y sanitizado de bidones</v>
      </c>
      <c r="E87" s="7" t="n">
        <f aca="false">IF(WEEKDAY($A87,2)&lt;6,Parametros!$B$21,Parametros!$B$22)</f>
        <v>6</v>
      </c>
      <c r="F87" s="7" t="n">
        <v>0.5</v>
      </c>
      <c r="G87" s="7" t="n">
        <f aca="false">E87-F87</f>
        <v>5.5</v>
      </c>
      <c r="H87" s="7" t="n">
        <v>0</v>
      </c>
      <c r="I87" s="7" t="n">
        <f aca="false">G87-H87</f>
        <v>5.5</v>
      </c>
      <c r="J87" s="6" t="s">
        <v>27</v>
      </c>
      <c r="K87" s="5" t="n">
        <f aca="false">INDEX(Parametros!$C$16:$C$18,MATCH($C87,Parametros!$A$16:$A$18,0))</f>
        <v>100</v>
      </c>
      <c r="L87" s="5" t="n">
        <f aca="false">I87*K87</f>
        <v>550</v>
      </c>
      <c r="M87" s="5" t="n">
        <v>346</v>
      </c>
      <c r="N87" s="5" t="n">
        <v>340</v>
      </c>
      <c r="O87" s="5" t="n">
        <f aca="false">M87-N87</f>
        <v>6</v>
      </c>
      <c r="P87" s="8" t="n">
        <f aca="false">IFERROR(I87/G87,0)</f>
        <v>1</v>
      </c>
      <c r="Q87" s="8" t="n">
        <f aca="false">IFERROR(M87/L87,0)</f>
        <v>0.629090909090909</v>
      </c>
      <c r="R87" s="8" t="n">
        <f aca="false">IFERROR(N87/M87,0)</f>
        <v>0.982658959537572</v>
      </c>
      <c r="S87" s="8" t="n">
        <f aca="false">P87*Q87*R87</f>
        <v>0.618181818181818</v>
      </c>
    </row>
    <row r="88" customFormat="false" ht="15" hidden="false" customHeight="false" outlineLevel="0" collapsed="false">
      <c r="A88" s="4" t="n">
        <v>46056</v>
      </c>
      <c r="B88" s="5" t="n">
        <f aca="false">MONTH($A88)</f>
        <v>2</v>
      </c>
      <c r="C88" s="5" t="n">
        <v>2</v>
      </c>
      <c r="D88" s="6" t="str">
        <f aca="false">INDEX(Parametros!$B$16:$B$18,MATCH($C88,Parametros!$A$16:$A$18,0))</f>
        <v>E2 - Llenado y tapado</v>
      </c>
      <c r="E88" s="7" t="n">
        <f aca="false">IF(WEEKDAY($A88,2)&lt;6,Parametros!$B$21,Parametros!$B$22)</f>
        <v>6</v>
      </c>
      <c r="F88" s="7" t="n">
        <v>0.75</v>
      </c>
      <c r="G88" s="7" t="n">
        <f aca="false">E88-F88</f>
        <v>5.25</v>
      </c>
      <c r="H88" s="7" t="n">
        <v>0.25</v>
      </c>
      <c r="I88" s="7" t="n">
        <f aca="false">G88-H88</f>
        <v>5</v>
      </c>
      <c r="J88" s="6" t="s">
        <v>30</v>
      </c>
      <c r="K88" s="5" t="n">
        <f aca="false">INDEX(Parametros!$C$16:$C$18,MATCH($C88,Parametros!$A$16:$A$18,0))</f>
        <v>95</v>
      </c>
      <c r="L88" s="5" t="n">
        <f aca="false">I88*K88</f>
        <v>475</v>
      </c>
      <c r="M88" s="5" t="n">
        <v>340</v>
      </c>
      <c r="N88" s="5" t="n">
        <v>334</v>
      </c>
      <c r="O88" s="5" t="n">
        <f aca="false">M88-N88</f>
        <v>6</v>
      </c>
      <c r="P88" s="8" t="n">
        <f aca="false">IFERROR(I88/G88,0)</f>
        <v>0.952380952380952</v>
      </c>
      <c r="Q88" s="8" t="n">
        <f aca="false">IFERROR(M88/L88,0)</f>
        <v>0.715789473684211</v>
      </c>
      <c r="R88" s="8" t="n">
        <f aca="false">IFERROR(N88/M88,0)</f>
        <v>0.982352941176471</v>
      </c>
      <c r="S88" s="8" t="n">
        <f aca="false">P88*Q88*R88</f>
        <v>0.669674185463659</v>
      </c>
    </row>
    <row r="89" customFormat="false" ht="15" hidden="false" customHeight="false" outlineLevel="0" collapsed="false">
      <c r="A89" s="4" t="n">
        <v>46056</v>
      </c>
      <c r="B89" s="5" t="n">
        <f aca="false">MONTH($A89)</f>
        <v>2</v>
      </c>
      <c r="C89" s="5" t="n">
        <v>3</v>
      </c>
      <c r="D89" s="6" t="str">
        <f aca="false">INDEX(Parametros!$B$16:$B$18,MATCH($C89,Parametros!$A$16:$A$18,0))</f>
        <v>E3 - Sellado y etiquetado</v>
      </c>
      <c r="E89" s="7" t="n">
        <f aca="false">IF(WEEKDAY($A89,2)&lt;6,Parametros!$B$21,Parametros!$B$22)</f>
        <v>6</v>
      </c>
      <c r="F89" s="7" t="n">
        <v>0.25</v>
      </c>
      <c r="G89" s="7" t="n">
        <f aca="false">E89-F89</f>
        <v>5.75</v>
      </c>
      <c r="H89" s="7" t="n">
        <v>0.5</v>
      </c>
      <c r="I89" s="7" t="n">
        <f aca="false">G89-H89</f>
        <v>5.25</v>
      </c>
      <c r="J89" s="6" t="s">
        <v>26</v>
      </c>
      <c r="K89" s="5" t="n">
        <f aca="false">INDEX(Parametros!$C$16:$C$18,MATCH($C89,Parametros!$A$16:$A$18,0))</f>
        <v>95</v>
      </c>
      <c r="L89" s="5" t="n">
        <f aca="false">I89*K89</f>
        <v>498.75</v>
      </c>
      <c r="M89" s="5" t="n">
        <v>334</v>
      </c>
      <c r="N89" s="5" t="n">
        <v>331</v>
      </c>
      <c r="O89" s="5" t="n">
        <f aca="false">M89-N89</f>
        <v>3</v>
      </c>
      <c r="P89" s="8" t="n">
        <f aca="false">IFERROR(I89/G89,0)</f>
        <v>0.91304347826087</v>
      </c>
      <c r="Q89" s="8" t="n">
        <f aca="false">IFERROR(M89/L89,0)</f>
        <v>0.669674185463659</v>
      </c>
      <c r="R89" s="8" t="n">
        <f aca="false">IFERROR(N89/M89,0)</f>
        <v>0.991017964071856</v>
      </c>
      <c r="S89" s="8" t="n">
        <f aca="false">P89*Q89*R89</f>
        <v>0.605949656750572</v>
      </c>
    </row>
    <row r="90" customFormat="false" ht="15" hidden="false" customHeight="false" outlineLevel="0" collapsed="false">
      <c r="A90" s="4" t="n">
        <v>46057</v>
      </c>
      <c r="B90" s="5" t="n">
        <f aca="false">MONTH($A90)</f>
        <v>2</v>
      </c>
      <c r="C90" s="5" t="n">
        <v>1</v>
      </c>
      <c r="D90" s="6" t="str">
        <f aca="false">INDEX(Parametros!$B$16:$B$18,MATCH($C90,Parametros!$A$16:$A$18,0))</f>
        <v>E1 - Lavado y sanitizado de bidones</v>
      </c>
      <c r="E90" s="7" t="n">
        <f aca="false">IF(WEEKDAY($A90,2)&lt;6,Parametros!$B$21,Parametros!$B$22)</f>
        <v>6</v>
      </c>
      <c r="F90" s="7" t="n">
        <v>0.5</v>
      </c>
      <c r="G90" s="7" t="n">
        <f aca="false">E90-F90</f>
        <v>5.5</v>
      </c>
      <c r="H90" s="7" t="n">
        <v>0.25</v>
      </c>
      <c r="I90" s="7" t="n">
        <f aca="false">G90-H90</f>
        <v>5.25</v>
      </c>
      <c r="J90" s="6" t="s">
        <v>30</v>
      </c>
      <c r="K90" s="5" t="n">
        <f aca="false">INDEX(Parametros!$C$16:$C$18,MATCH($C90,Parametros!$A$16:$A$18,0))</f>
        <v>100</v>
      </c>
      <c r="L90" s="5" t="n">
        <f aca="false">I90*K90</f>
        <v>525</v>
      </c>
      <c r="M90" s="5" t="n">
        <v>347</v>
      </c>
      <c r="N90" s="5" t="n">
        <v>343</v>
      </c>
      <c r="O90" s="5" t="n">
        <f aca="false">M90-N90</f>
        <v>4</v>
      </c>
      <c r="P90" s="8" t="n">
        <f aca="false">IFERROR(I90/G90,0)</f>
        <v>0.954545454545455</v>
      </c>
      <c r="Q90" s="8" t="n">
        <f aca="false">IFERROR(M90/L90,0)</f>
        <v>0.660952380952381</v>
      </c>
      <c r="R90" s="8" t="n">
        <f aca="false">IFERROR(N90/M90,0)</f>
        <v>0.988472622478386</v>
      </c>
      <c r="S90" s="8" t="n">
        <f aca="false">P90*Q90*R90</f>
        <v>0.623636363636364</v>
      </c>
    </row>
    <row r="91" customFormat="false" ht="15" hidden="false" customHeight="false" outlineLevel="0" collapsed="false">
      <c r="A91" s="4" t="n">
        <v>46057</v>
      </c>
      <c r="B91" s="5" t="n">
        <f aca="false">MONTH($A91)</f>
        <v>2</v>
      </c>
      <c r="C91" s="5" t="n">
        <v>2</v>
      </c>
      <c r="D91" s="6" t="str">
        <f aca="false">INDEX(Parametros!$B$16:$B$18,MATCH($C91,Parametros!$A$16:$A$18,0))</f>
        <v>E2 - Llenado y tapado</v>
      </c>
      <c r="E91" s="7" t="n">
        <f aca="false">IF(WEEKDAY($A91,2)&lt;6,Parametros!$B$21,Parametros!$B$22)</f>
        <v>6</v>
      </c>
      <c r="F91" s="7" t="n">
        <v>0.75</v>
      </c>
      <c r="G91" s="7" t="n">
        <f aca="false">E91-F91</f>
        <v>5.25</v>
      </c>
      <c r="H91" s="7" t="n">
        <v>0.5</v>
      </c>
      <c r="I91" s="7" t="n">
        <f aca="false">G91-H91</f>
        <v>4.75</v>
      </c>
      <c r="J91" s="6" t="s">
        <v>26</v>
      </c>
      <c r="K91" s="5" t="n">
        <f aca="false">INDEX(Parametros!$C$16:$C$18,MATCH($C91,Parametros!$A$16:$A$18,0))</f>
        <v>95</v>
      </c>
      <c r="L91" s="5" t="n">
        <f aca="false">I91*K91</f>
        <v>451.25</v>
      </c>
      <c r="M91" s="5" t="n">
        <v>343</v>
      </c>
      <c r="N91" s="5" t="n">
        <v>339</v>
      </c>
      <c r="O91" s="5" t="n">
        <f aca="false">M91-N91</f>
        <v>4</v>
      </c>
      <c r="P91" s="8" t="n">
        <f aca="false">IFERROR(I91/G91,0)</f>
        <v>0.904761904761905</v>
      </c>
      <c r="Q91" s="8" t="n">
        <f aca="false">IFERROR(M91/L91,0)</f>
        <v>0.7601108033241</v>
      </c>
      <c r="R91" s="8" t="n">
        <f aca="false">IFERROR(N91/M91,0)</f>
        <v>0.988338192419825</v>
      </c>
      <c r="S91" s="8" t="n">
        <f aca="false">P91*Q91*R91</f>
        <v>0.679699248120301</v>
      </c>
    </row>
    <row r="92" customFormat="false" ht="15" hidden="false" customHeight="false" outlineLevel="0" collapsed="false">
      <c r="A92" s="4" t="n">
        <v>46057</v>
      </c>
      <c r="B92" s="5" t="n">
        <f aca="false">MONTH($A92)</f>
        <v>2</v>
      </c>
      <c r="C92" s="5" t="n">
        <v>3</v>
      </c>
      <c r="D92" s="6" t="str">
        <f aca="false">INDEX(Parametros!$B$16:$B$18,MATCH($C92,Parametros!$A$16:$A$18,0))</f>
        <v>E3 - Sellado y etiquetado</v>
      </c>
      <c r="E92" s="7" t="n">
        <f aca="false">IF(WEEKDAY($A92,2)&lt;6,Parametros!$B$21,Parametros!$B$22)</f>
        <v>6</v>
      </c>
      <c r="F92" s="7" t="n">
        <v>0.25</v>
      </c>
      <c r="G92" s="7" t="n">
        <f aca="false">E92-F92</f>
        <v>5.75</v>
      </c>
      <c r="H92" s="7" t="n">
        <v>0</v>
      </c>
      <c r="I92" s="7" t="n">
        <f aca="false">G92-H92</f>
        <v>5.75</v>
      </c>
      <c r="J92" s="6" t="s">
        <v>27</v>
      </c>
      <c r="K92" s="5" t="n">
        <f aca="false">INDEX(Parametros!$C$16:$C$18,MATCH($C92,Parametros!$A$16:$A$18,0))</f>
        <v>95</v>
      </c>
      <c r="L92" s="5" t="n">
        <f aca="false">I92*K92</f>
        <v>546.25</v>
      </c>
      <c r="M92" s="5" t="n">
        <v>339</v>
      </c>
      <c r="N92" s="5" t="n">
        <v>336</v>
      </c>
      <c r="O92" s="5" t="n">
        <f aca="false">M92-N92</f>
        <v>3</v>
      </c>
      <c r="P92" s="8" t="n">
        <f aca="false">IFERROR(I92/G92,0)</f>
        <v>1</v>
      </c>
      <c r="Q92" s="8" t="n">
        <f aca="false">IFERROR(M92/L92,0)</f>
        <v>0.620594965675057</v>
      </c>
      <c r="R92" s="8" t="n">
        <f aca="false">IFERROR(N92/M92,0)</f>
        <v>0.991150442477876</v>
      </c>
      <c r="S92" s="8" t="n">
        <f aca="false">P92*Q92*R92</f>
        <v>0.615102974828375</v>
      </c>
    </row>
    <row r="93" customFormat="false" ht="15" hidden="false" customHeight="false" outlineLevel="0" collapsed="false">
      <c r="A93" s="4" t="n">
        <v>46058</v>
      </c>
      <c r="B93" s="5" t="n">
        <f aca="false">MONTH($A93)</f>
        <v>2</v>
      </c>
      <c r="C93" s="5" t="n">
        <v>1</v>
      </c>
      <c r="D93" s="6" t="str">
        <f aca="false">INDEX(Parametros!$B$16:$B$18,MATCH($C93,Parametros!$A$16:$A$18,0))</f>
        <v>E1 - Lavado y sanitizado de bidones</v>
      </c>
      <c r="E93" s="7" t="n">
        <f aca="false">IF(WEEKDAY($A93,2)&lt;6,Parametros!$B$21,Parametros!$B$22)</f>
        <v>6</v>
      </c>
      <c r="F93" s="7" t="n">
        <v>0.5</v>
      </c>
      <c r="G93" s="7" t="n">
        <f aca="false">E93-F93</f>
        <v>5.5</v>
      </c>
      <c r="H93" s="7" t="n">
        <v>0.5</v>
      </c>
      <c r="I93" s="7" t="n">
        <f aca="false">G93-H93</f>
        <v>5</v>
      </c>
      <c r="J93" s="6" t="s">
        <v>22</v>
      </c>
      <c r="K93" s="5" t="n">
        <f aca="false">INDEX(Parametros!$C$16:$C$18,MATCH($C93,Parametros!$A$16:$A$18,0))</f>
        <v>100</v>
      </c>
      <c r="L93" s="5" t="n">
        <f aca="false">I93*K93</f>
        <v>500</v>
      </c>
      <c r="M93" s="5" t="n">
        <v>389</v>
      </c>
      <c r="N93" s="5" t="n">
        <v>387</v>
      </c>
      <c r="O93" s="5" t="n">
        <f aca="false">M93-N93</f>
        <v>2</v>
      </c>
      <c r="P93" s="8" t="n">
        <f aca="false">IFERROR(I93/G93,0)</f>
        <v>0.909090909090909</v>
      </c>
      <c r="Q93" s="8" t="n">
        <f aca="false">IFERROR(M93/L93,0)</f>
        <v>0.778</v>
      </c>
      <c r="R93" s="8" t="n">
        <f aca="false">IFERROR(N93/M93,0)</f>
        <v>0.994858611825193</v>
      </c>
      <c r="S93" s="8" t="n">
        <f aca="false">P93*Q93*R93</f>
        <v>0.703636363636364</v>
      </c>
    </row>
    <row r="94" customFormat="false" ht="15" hidden="false" customHeight="false" outlineLevel="0" collapsed="false">
      <c r="A94" s="4" t="n">
        <v>46058</v>
      </c>
      <c r="B94" s="5" t="n">
        <f aca="false">MONTH($A94)</f>
        <v>2</v>
      </c>
      <c r="C94" s="5" t="n">
        <v>2</v>
      </c>
      <c r="D94" s="6" t="str">
        <f aca="false">INDEX(Parametros!$B$16:$B$18,MATCH($C94,Parametros!$A$16:$A$18,0))</f>
        <v>E2 - Llenado y tapado</v>
      </c>
      <c r="E94" s="7" t="n">
        <f aca="false">IF(WEEKDAY($A94,2)&lt;6,Parametros!$B$21,Parametros!$B$22)</f>
        <v>6</v>
      </c>
      <c r="F94" s="7" t="n">
        <v>0.75</v>
      </c>
      <c r="G94" s="7" t="n">
        <f aca="false">E94-F94</f>
        <v>5.25</v>
      </c>
      <c r="H94" s="7" t="n">
        <v>0.25</v>
      </c>
      <c r="I94" s="7" t="n">
        <f aca="false">G94-H94</f>
        <v>5</v>
      </c>
      <c r="J94" s="6" t="s">
        <v>28</v>
      </c>
      <c r="K94" s="5" t="n">
        <f aca="false">INDEX(Parametros!$C$16:$C$18,MATCH($C94,Parametros!$A$16:$A$18,0))</f>
        <v>95</v>
      </c>
      <c r="L94" s="5" t="n">
        <f aca="false">I94*K94</f>
        <v>475</v>
      </c>
      <c r="M94" s="5" t="n">
        <v>387</v>
      </c>
      <c r="N94" s="5" t="n">
        <v>375</v>
      </c>
      <c r="O94" s="5" t="n">
        <f aca="false">M94-N94</f>
        <v>12</v>
      </c>
      <c r="P94" s="8" t="n">
        <f aca="false">IFERROR(I94/G94,0)</f>
        <v>0.952380952380952</v>
      </c>
      <c r="Q94" s="8" t="n">
        <f aca="false">IFERROR(M94/L94,0)</f>
        <v>0.814736842105263</v>
      </c>
      <c r="R94" s="8" t="n">
        <f aca="false">IFERROR(N94/M94,0)</f>
        <v>0.968992248062015</v>
      </c>
      <c r="S94" s="8" t="n">
        <f aca="false">P94*Q94*R94</f>
        <v>0.75187969924812</v>
      </c>
    </row>
    <row r="95" customFormat="false" ht="15" hidden="false" customHeight="false" outlineLevel="0" collapsed="false">
      <c r="A95" s="4" t="n">
        <v>46058</v>
      </c>
      <c r="B95" s="5" t="n">
        <f aca="false">MONTH($A95)</f>
        <v>2</v>
      </c>
      <c r="C95" s="5" t="n">
        <v>3</v>
      </c>
      <c r="D95" s="6" t="str">
        <f aca="false">INDEX(Parametros!$B$16:$B$18,MATCH($C95,Parametros!$A$16:$A$18,0))</f>
        <v>E3 - Sellado y etiquetado</v>
      </c>
      <c r="E95" s="7" t="n">
        <f aca="false">IF(WEEKDAY($A95,2)&lt;6,Parametros!$B$21,Parametros!$B$22)</f>
        <v>6</v>
      </c>
      <c r="F95" s="7" t="n">
        <v>0.25</v>
      </c>
      <c r="G95" s="7" t="n">
        <f aca="false">E95-F95</f>
        <v>5.75</v>
      </c>
      <c r="H95" s="7" t="n">
        <v>0.25</v>
      </c>
      <c r="I95" s="7" t="n">
        <f aca="false">G95-H95</f>
        <v>5.5</v>
      </c>
      <c r="J95" s="6" t="s">
        <v>30</v>
      </c>
      <c r="K95" s="5" t="n">
        <f aca="false">INDEX(Parametros!$C$16:$C$18,MATCH($C95,Parametros!$A$16:$A$18,0))</f>
        <v>95</v>
      </c>
      <c r="L95" s="5" t="n">
        <f aca="false">I95*K95</f>
        <v>522.5</v>
      </c>
      <c r="M95" s="5" t="n">
        <v>375</v>
      </c>
      <c r="N95" s="5" t="n">
        <v>371</v>
      </c>
      <c r="O95" s="5" t="n">
        <f aca="false">M95-N95</f>
        <v>4</v>
      </c>
      <c r="P95" s="8" t="n">
        <f aca="false">IFERROR(I95/G95,0)</f>
        <v>0.956521739130435</v>
      </c>
      <c r="Q95" s="8" t="n">
        <f aca="false">IFERROR(M95/L95,0)</f>
        <v>0.717703349282297</v>
      </c>
      <c r="R95" s="8" t="n">
        <f aca="false">IFERROR(N95/M95,0)</f>
        <v>0.989333333333333</v>
      </c>
      <c r="S95" s="8" t="n">
        <f aca="false">P95*Q95*R95</f>
        <v>0.679176201372998</v>
      </c>
    </row>
    <row r="96" customFormat="false" ht="15" hidden="false" customHeight="false" outlineLevel="0" collapsed="false">
      <c r="A96" s="4" t="n">
        <v>46059</v>
      </c>
      <c r="B96" s="5" t="n">
        <f aca="false">MONTH($A96)</f>
        <v>2</v>
      </c>
      <c r="C96" s="5" t="n">
        <v>1</v>
      </c>
      <c r="D96" s="6" t="str">
        <f aca="false">INDEX(Parametros!$B$16:$B$18,MATCH($C96,Parametros!$A$16:$A$18,0))</f>
        <v>E1 - Lavado y sanitizado de bidones</v>
      </c>
      <c r="E96" s="7" t="n">
        <f aca="false">IF(WEEKDAY($A96,2)&lt;6,Parametros!$B$21,Parametros!$B$22)</f>
        <v>6</v>
      </c>
      <c r="F96" s="7" t="n">
        <v>0.75</v>
      </c>
      <c r="G96" s="7" t="n">
        <f aca="false">E96-F96</f>
        <v>5.25</v>
      </c>
      <c r="H96" s="7" t="n">
        <v>0</v>
      </c>
      <c r="I96" s="7" t="n">
        <f aca="false">G96-H96</f>
        <v>5.25</v>
      </c>
      <c r="J96" s="6" t="s">
        <v>27</v>
      </c>
      <c r="K96" s="5" t="n">
        <f aca="false">INDEX(Parametros!$C$16:$C$18,MATCH($C96,Parametros!$A$16:$A$18,0))</f>
        <v>100</v>
      </c>
      <c r="L96" s="5" t="n">
        <f aca="false">I96*K96</f>
        <v>525</v>
      </c>
      <c r="M96" s="5" t="n">
        <v>335</v>
      </c>
      <c r="N96" s="5" t="n">
        <v>333</v>
      </c>
      <c r="O96" s="5" t="n">
        <f aca="false">M96-N96</f>
        <v>2</v>
      </c>
      <c r="P96" s="8" t="n">
        <f aca="false">IFERROR(I96/G96,0)</f>
        <v>1</v>
      </c>
      <c r="Q96" s="8" t="n">
        <f aca="false">IFERROR(M96/L96,0)</f>
        <v>0.638095238095238</v>
      </c>
      <c r="R96" s="8" t="n">
        <f aca="false">IFERROR(N96/M96,0)</f>
        <v>0.994029850746269</v>
      </c>
      <c r="S96" s="8" t="n">
        <f aca="false">P96*Q96*R96</f>
        <v>0.634285714285714</v>
      </c>
    </row>
    <row r="97" customFormat="false" ht="15" hidden="false" customHeight="false" outlineLevel="0" collapsed="false">
      <c r="A97" s="4" t="n">
        <v>46059</v>
      </c>
      <c r="B97" s="5" t="n">
        <f aca="false">MONTH($A97)</f>
        <v>2</v>
      </c>
      <c r="C97" s="5" t="n">
        <v>2</v>
      </c>
      <c r="D97" s="6" t="str">
        <f aca="false">INDEX(Parametros!$B$16:$B$18,MATCH($C97,Parametros!$A$16:$A$18,0))</f>
        <v>E2 - Llenado y tapado</v>
      </c>
      <c r="E97" s="7" t="n">
        <f aca="false">IF(WEEKDAY($A97,2)&lt;6,Parametros!$B$21,Parametros!$B$22)</f>
        <v>6</v>
      </c>
      <c r="F97" s="7" t="n">
        <v>0.75</v>
      </c>
      <c r="G97" s="7" t="n">
        <f aca="false">E97-F97</f>
        <v>5.25</v>
      </c>
      <c r="H97" s="7" t="n">
        <v>0</v>
      </c>
      <c r="I97" s="7" t="n">
        <f aca="false">G97-H97</f>
        <v>5.25</v>
      </c>
      <c r="J97" s="6" t="s">
        <v>27</v>
      </c>
      <c r="K97" s="5" t="n">
        <f aca="false">INDEX(Parametros!$C$16:$C$18,MATCH($C97,Parametros!$A$16:$A$18,0))</f>
        <v>95</v>
      </c>
      <c r="L97" s="5" t="n">
        <f aca="false">I97*K97</f>
        <v>498.75</v>
      </c>
      <c r="M97" s="5" t="n">
        <v>333</v>
      </c>
      <c r="N97" s="5" t="n">
        <v>329</v>
      </c>
      <c r="O97" s="5" t="n">
        <f aca="false">M97-N97</f>
        <v>4</v>
      </c>
      <c r="P97" s="8" t="n">
        <f aca="false">IFERROR(I97/G97,0)</f>
        <v>1</v>
      </c>
      <c r="Q97" s="8" t="n">
        <f aca="false">IFERROR(M97/L97,0)</f>
        <v>0.667669172932331</v>
      </c>
      <c r="R97" s="8" t="n">
        <f aca="false">IFERROR(N97/M97,0)</f>
        <v>0.987987987987988</v>
      </c>
      <c r="S97" s="8" t="n">
        <f aca="false">P97*Q97*R97</f>
        <v>0.659649122807018</v>
      </c>
    </row>
    <row r="98" customFormat="false" ht="15" hidden="false" customHeight="false" outlineLevel="0" collapsed="false">
      <c r="A98" s="4" t="n">
        <v>46059</v>
      </c>
      <c r="B98" s="5" t="n">
        <f aca="false">MONTH($A98)</f>
        <v>2</v>
      </c>
      <c r="C98" s="5" t="n">
        <v>3</v>
      </c>
      <c r="D98" s="6" t="str">
        <f aca="false">INDEX(Parametros!$B$16:$B$18,MATCH($C98,Parametros!$A$16:$A$18,0))</f>
        <v>E3 - Sellado y etiquetado</v>
      </c>
      <c r="E98" s="7" t="n">
        <f aca="false">IF(WEEKDAY($A98,2)&lt;6,Parametros!$B$21,Parametros!$B$22)</f>
        <v>6</v>
      </c>
      <c r="F98" s="7" t="n">
        <v>0.25</v>
      </c>
      <c r="G98" s="7" t="n">
        <f aca="false">E98-F98</f>
        <v>5.75</v>
      </c>
      <c r="H98" s="7" t="n">
        <v>0.25</v>
      </c>
      <c r="I98" s="7" t="n">
        <f aca="false">G98-H98</f>
        <v>5.5</v>
      </c>
      <c r="J98" s="6" t="s">
        <v>30</v>
      </c>
      <c r="K98" s="5" t="n">
        <f aca="false">INDEX(Parametros!$C$16:$C$18,MATCH($C98,Parametros!$A$16:$A$18,0))</f>
        <v>95</v>
      </c>
      <c r="L98" s="5" t="n">
        <f aca="false">I98*K98</f>
        <v>522.5</v>
      </c>
      <c r="M98" s="5" t="n">
        <v>329</v>
      </c>
      <c r="N98" s="5" t="n">
        <v>326</v>
      </c>
      <c r="O98" s="5" t="n">
        <f aca="false">M98-N98</f>
        <v>3</v>
      </c>
      <c r="P98" s="8" t="n">
        <f aca="false">IFERROR(I98/G98,0)</f>
        <v>0.956521739130435</v>
      </c>
      <c r="Q98" s="8" t="n">
        <f aca="false">IFERROR(M98/L98,0)</f>
        <v>0.629665071770335</v>
      </c>
      <c r="R98" s="8" t="n">
        <f aca="false">IFERROR(N98/M98,0)</f>
        <v>0.990881458966565</v>
      </c>
      <c r="S98" s="8" t="n">
        <f aca="false">P98*Q98*R98</f>
        <v>0.596796338672769</v>
      </c>
    </row>
    <row r="99" customFormat="false" ht="15" hidden="false" customHeight="false" outlineLevel="0" collapsed="false">
      <c r="A99" s="4" t="n">
        <v>46060</v>
      </c>
      <c r="B99" s="5" t="n">
        <f aca="false">MONTH($A99)</f>
        <v>2</v>
      </c>
      <c r="C99" s="5" t="n">
        <v>1</v>
      </c>
      <c r="D99" s="6" t="str">
        <f aca="false">INDEX(Parametros!$B$16:$B$18,MATCH($C99,Parametros!$A$16:$A$18,0))</f>
        <v>E1 - Lavado y sanitizado de bidones</v>
      </c>
      <c r="E99" s="7" t="n">
        <f aca="false">IF(WEEKDAY($A99,2)&lt;6,Parametros!$B$21,Parametros!$B$22)</f>
        <v>4</v>
      </c>
      <c r="F99" s="7" t="n">
        <v>0.75</v>
      </c>
      <c r="G99" s="7" t="n">
        <f aca="false">E99-F99</f>
        <v>3.25</v>
      </c>
      <c r="H99" s="7" t="n">
        <v>3.25</v>
      </c>
      <c r="I99" s="7" t="n">
        <f aca="false">G99-H99</f>
        <v>0</v>
      </c>
      <c r="J99" s="6" t="s">
        <v>31</v>
      </c>
      <c r="K99" s="5" t="n">
        <f aca="false">INDEX(Parametros!$C$16:$C$18,MATCH($C99,Parametros!$A$16:$A$18,0))</f>
        <v>100</v>
      </c>
      <c r="L99" s="5" t="n">
        <f aca="false">I99*K99</f>
        <v>0</v>
      </c>
      <c r="M99" s="5" t="n">
        <v>0</v>
      </c>
      <c r="N99" s="5" t="n">
        <v>0</v>
      </c>
      <c r="O99" s="5" t="n">
        <f aca="false">M99-N99</f>
        <v>0</v>
      </c>
      <c r="P99" s="8" t="n">
        <f aca="false">IFERROR(I99/G99,0)</f>
        <v>0</v>
      </c>
      <c r="Q99" s="8" t="n">
        <f aca="false">IFERROR(M99/L99,0)</f>
        <v>0</v>
      </c>
      <c r="R99" s="8" t="n">
        <f aca="false">IFERROR(N99/M99,0)</f>
        <v>0</v>
      </c>
      <c r="S99" s="8" t="n">
        <f aca="false">P99*Q99*R99</f>
        <v>0</v>
      </c>
    </row>
    <row r="100" customFormat="false" ht="15" hidden="false" customHeight="false" outlineLevel="0" collapsed="false">
      <c r="A100" s="4" t="n">
        <v>46060</v>
      </c>
      <c r="B100" s="5" t="n">
        <f aca="false">MONTH($A100)</f>
        <v>2</v>
      </c>
      <c r="C100" s="5" t="n">
        <v>2</v>
      </c>
      <c r="D100" s="6" t="str">
        <f aca="false">INDEX(Parametros!$B$16:$B$18,MATCH($C100,Parametros!$A$16:$A$18,0))</f>
        <v>E2 - Llenado y tapado</v>
      </c>
      <c r="E100" s="7" t="n">
        <f aca="false">IF(WEEKDAY($A100,2)&lt;6,Parametros!$B$21,Parametros!$B$22)</f>
        <v>4</v>
      </c>
      <c r="F100" s="7" t="n">
        <v>1</v>
      </c>
      <c r="G100" s="7" t="n">
        <f aca="false">E100-F100</f>
        <v>3</v>
      </c>
      <c r="H100" s="7" t="n">
        <v>3</v>
      </c>
      <c r="I100" s="7" t="n">
        <f aca="false">G100-H100</f>
        <v>0</v>
      </c>
      <c r="J100" s="6" t="s">
        <v>31</v>
      </c>
      <c r="K100" s="5" t="n">
        <f aca="false">INDEX(Parametros!$C$16:$C$18,MATCH($C100,Parametros!$A$16:$A$18,0))</f>
        <v>95</v>
      </c>
      <c r="L100" s="5" t="n">
        <f aca="false">I100*K100</f>
        <v>0</v>
      </c>
      <c r="M100" s="5" t="n">
        <v>0</v>
      </c>
      <c r="N100" s="5" t="n">
        <v>0</v>
      </c>
      <c r="O100" s="5" t="n">
        <f aca="false">M100-N100</f>
        <v>0</v>
      </c>
      <c r="P100" s="8" t="n">
        <f aca="false">IFERROR(I100/G100,0)</f>
        <v>0</v>
      </c>
      <c r="Q100" s="8" t="n">
        <f aca="false">IFERROR(M100/L100,0)</f>
        <v>0</v>
      </c>
      <c r="R100" s="8" t="n">
        <f aca="false">IFERROR(N100/M100,0)</f>
        <v>0</v>
      </c>
      <c r="S100" s="8" t="n">
        <f aca="false">P100*Q100*R100</f>
        <v>0</v>
      </c>
    </row>
    <row r="101" customFormat="false" ht="15" hidden="false" customHeight="false" outlineLevel="0" collapsed="false">
      <c r="A101" s="4" t="n">
        <v>46060</v>
      </c>
      <c r="B101" s="5" t="n">
        <f aca="false">MONTH($A101)</f>
        <v>2</v>
      </c>
      <c r="C101" s="5" t="n">
        <v>3</v>
      </c>
      <c r="D101" s="6" t="str">
        <f aca="false">INDEX(Parametros!$B$16:$B$18,MATCH($C101,Parametros!$A$16:$A$18,0))</f>
        <v>E3 - Sellado y etiquetado</v>
      </c>
      <c r="E101" s="7" t="n">
        <f aca="false">IF(WEEKDAY($A101,2)&lt;6,Parametros!$B$21,Parametros!$B$22)</f>
        <v>4</v>
      </c>
      <c r="F101" s="7" t="n">
        <v>0.5</v>
      </c>
      <c r="G101" s="7" t="n">
        <f aca="false">E101-F101</f>
        <v>3.5</v>
      </c>
      <c r="H101" s="7" t="n">
        <v>3.5</v>
      </c>
      <c r="I101" s="7" t="n">
        <f aca="false">G101-H101</f>
        <v>0</v>
      </c>
      <c r="J101" s="6" t="s">
        <v>31</v>
      </c>
      <c r="K101" s="5" t="n">
        <f aca="false">INDEX(Parametros!$C$16:$C$18,MATCH($C101,Parametros!$A$16:$A$18,0))</f>
        <v>95</v>
      </c>
      <c r="L101" s="5" t="n">
        <f aca="false">I101*K101</f>
        <v>0</v>
      </c>
      <c r="M101" s="5" t="n">
        <v>0</v>
      </c>
      <c r="N101" s="5" t="n">
        <v>0</v>
      </c>
      <c r="O101" s="5" t="n">
        <f aca="false">M101-N101</f>
        <v>0</v>
      </c>
      <c r="P101" s="8" t="n">
        <f aca="false">IFERROR(I101/G101,0)</f>
        <v>0</v>
      </c>
      <c r="Q101" s="8" t="n">
        <f aca="false">IFERROR(M101/L101,0)</f>
        <v>0</v>
      </c>
      <c r="R101" s="8" t="n">
        <f aca="false">IFERROR(N101/M101,0)</f>
        <v>0</v>
      </c>
      <c r="S101" s="8" t="n">
        <f aca="false">P101*Q101*R101</f>
        <v>0</v>
      </c>
    </row>
    <row r="102" customFormat="false" ht="15" hidden="false" customHeight="false" outlineLevel="0" collapsed="false">
      <c r="A102" s="4" t="n">
        <v>46062</v>
      </c>
      <c r="B102" s="5" t="n">
        <f aca="false">MONTH($A102)</f>
        <v>2</v>
      </c>
      <c r="C102" s="5" t="n">
        <v>1</v>
      </c>
      <c r="D102" s="6" t="str">
        <f aca="false">INDEX(Parametros!$B$16:$B$18,MATCH($C102,Parametros!$A$16:$A$18,0))</f>
        <v>E1 - Lavado y sanitizado de bidones</v>
      </c>
      <c r="E102" s="7" t="n">
        <f aca="false">IF(WEEKDAY($A102,2)&lt;6,Parametros!$B$21,Parametros!$B$22)</f>
        <v>6</v>
      </c>
      <c r="F102" s="7" t="n">
        <v>0.5</v>
      </c>
      <c r="G102" s="7" t="n">
        <f aca="false">E102-F102</f>
        <v>5.5</v>
      </c>
      <c r="H102" s="7" t="n">
        <v>2</v>
      </c>
      <c r="I102" s="7" t="n">
        <f aca="false">G102-H102</f>
        <v>3.5</v>
      </c>
      <c r="J102" s="6" t="s">
        <v>22</v>
      </c>
      <c r="K102" s="5" t="n">
        <f aca="false">INDEX(Parametros!$C$16:$C$18,MATCH($C102,Parametros!$A$16:$A$18,0))</f>
        <v>100</v>
      </c>
      <c r="L102" s="5" t="n">
        <f aca="false">I102*K102</f>
        <v>350</v>
      </c>
      <c r="M102" s="5" t="n">
        <v>286</v>
      </c>
      <c r="N102" s="5" t="n">
        <v>281</v>
      </c>
      <c r="O102" s="5" t="n">
        <f aca="false">M102-N102</f>
        <v>5</v>
      </c>
      <c r="P102" s="8" t="n">
        <f aca="false">IFERROR(I102/G102,0)</f>
        <v>0.636363636363636</v>
      </c>
      <c r="Q102" s="8" t="n">
        <f aca="false">IFERROR(M102/L102,0)</f>
        <v>0.817142857142857</v>
      </c>
      <c r="R102" s="8" t="n">
        <f aca="false">IFERROR(N102/M102,0)</f>
        <v>0.982517482517483</v>
      </c>
      <c r="S102" s="8" t="n">
        <f aca="false">P102*Q102*R102</f>
        <v>0.510909090909091</v>
      </c>
    </row>
    <row r="103" customFormat="false" ht="15" hidden="false" customHeight="false" outlineLevel="0" collapsed="false">
      <c r="A103" s="4" t="n">
        <v>46062</v>
      </c>
      <c r="B103" s="5" t="n">
        <f aca="false">MONTH($A103)</f>
        <v>2</v>
      </c>
      <c r="C103" s="5" t="n">
        <v>2</v>
      </c>
      <c r="D103" s="6" t="str">
        <f aca="false">INDEX(Parametros!$B$16:$B$18,MATCH($C103,Parametros!$A$16:$A$18,0))</f>
        <v>E2 - Llenado y tapado</v>
      </c>
      <c r="E103" s="7" t="n">
        <f aca="false">IF(WEEKDAY($A103,2)&lt;6,Parametros!$B$21,Parametros!$B$22)</f>
        <v>6</v>
      </c>
      <c r="F103" s="7" t="n">
        <v>0.75</v>
      </c>
      <c r="G103" s="7" t="n">
        <f aca="false">E103-F103</f>
        <v>5.25</v>
      </c>
      <c r="H103" s="7" t="n">
        <v>1.75</v>
      </c>
      <c r="I103" s="7" t="n">
        <f aca="false">G103-H103</f>
        <v>3.5</v>
      </c>
      <c r="J103" s="6" t="s">
        <v>28</v>
      </c>
      <c r="K103" s="5" t="n">
        <f aca="false">INDEX(Parametros!$C$16:$C$18,MATCH($C103,Parametros!$A$16:$A$18,0))</f>
        <v>95</v>
      </c>
      <c r="L103" s="5" t="n">
        <f aca="false">I103*K103</f>
        <v>332.5</v>
      </c>
      <c r="M103" s="5" t="n">
        <v>281</v>
      </c>
      <c r="N103" s="5" t="n">
        <v>276</v>
      </c>
      <c r="O103" s="5" t="n">
        <f aca="false">M103-N103</f>
        <v>5</v>
      </c>
      <c r="P103" s="8" t="n">
        <f aca="false">IFERROR(I103/G103,0)</f>
        <v>0.666666666666667</v>
      </c>
      <c r="Q103" s="8" t="n">
        <f aca="false">IFERROR(M103/L103,0)</f>
        <v>0.845112781954887</v>
      </c>
      <c r="R103" s="8" t="n">
        <f aca="false">IFERROR(N103/M103,0)</f>
        <v>0.98220640569395</v>
      </c>
      <c r="S103" s="8" t="n">
        <f aca="false">P103*Q103*R103</f>
        <v>0.553383458646617</v>
      </c>
    </row>
    <row r="104" customFormat="false" ht="15" hidden="false" customHeight="false" outlineLevel="0" collapsed="false">
      <c r="A104" s="4" t="n">
        <v>46062</v>
      </c>
      <c r="B104" s="5" t="n">
        <f aca="false">MONTH($A104)</f>
        <v>2</v>
      </c>
      <c r="C104" s="5" t="n">
        <v>3</v>
      </c>
      <c r="D104" s="6" t="str">
        <f aca="false">INDEX(Parametros!$B$16:$B$18,MATCH($C104,Parametros!$A$16:$A$18,0))</f>
        <v>E3 - Sellado y etiquetado</v>
      </c>
      <c r="E104" s="7" t="n">
        <f aca="false">IF(WEEKDAY($A104,2)&lt;6,Parametros!$B$21,Parametros!$B$22)</f>
        <v>6</v>
      </c>
      <c r="F104" s="7" t="n">
        <v>0.25</v>
      </c>
      <c r="G104" s="7" t="n">
        <f aca="false">E104-F104</f>
        <v>5.75</v>
      </c>
      <c r="H104" s="7" t="n">
        <v>1.25</v>
      </c>
      <c r="I104" s="7" t="n">
        <f aca="false">G104-H104</f>
        <v>4.5</v>
      </c>
      <c r="J104" s="6" t="s">
        <v>29</v>
      </c>
      <c r="K104" s="5" t="n">
        <f aca="false">INDEX(Parametros!$C$16:$C$18,MATCH($C104,Parametros!$A$16:$A$18,0))</f>
        <v>95</v>
      </c>
      <c r="L104" s="5" t="n">
        <f aca="false">I104*K104</f>
        <v>427.5</v>
      </c>
      <c r="M104" s="5" t="n">
        <v>276</v>
      </c>
      <c r="N104" s="5" t="n">
        <v>275</v>
      </c>
      <c r="O104" s="5" t="n">
        <f aca="false">M104-N104</f>
        <v>1</v>
      </c>
      <c r="P104" s="8" t="n">
        <f aca="false">IFERROR(I104/G104,0)</f>
        <v>0.782608695652174</v>
      </c>
      <c r="Q104" s="8" t="n">
        <f aca="false">IFERROR(M104/L104,0)</f>
        <v>0.645614035087719</v>
      </c>
      <c r="R104" s="8" t="n">
        <f aca="false">IFERROR(N104/M104,0)</f>
        <v>0.996376811594203</v>
      </c>
      <c r="S104" s="8" t="n">
        <f aca="false">P104*Q104*R104</f>
        <v>0.503432494279176</v>
      </c>
    </row>
    <row r="105" customFormat="false" ht="15" hidden="false" customHeight="false" outlineLevel="0" collapsed="false">
      <c r="A105" s="4" t="n">
        <v>46063</v>
      </c>
      <c r="B105" s="5" t="n">
        <f aca="false">MONTH($A105)</f>
        <v>2</v>
      </c>
      <c r="C105" s="5" t="n">
        <v>1</v>
      </c>
      <c r="D105" s="6" t="str">
        <f aca="false">INDEX(Parametros!$B$16:$B$18,MATCH($C105,Parametros!$A$16:$A$18,0))</f>
        <v>E1 - Lavado y sanitizado de bidones</v>
      </c>
      <c r="E105" s="7" t="n">
        <f aca="false">IF(WEEKDAY($A105,2)&lt;6,Parametros!$B$21,Parametros!$B$22)</f>
        <v>6</v>
      </c>
      <c r="F105" s="7" t="n">
        <v>0.5</v>
      </c>
      <c r="G105" s="7" t="n">
        <f aca="false">E105-F105</f>
        <v>5.5</v>
      </c>
      <c r="H105" s="7" t="n">
        <v>0</v>
      </c>
      <c r="I105" s="7" t="n">
        <f aca="false">G105-H105</f>
        <v>5.5</v>
      </c>
      <c r="J105" s="6" t="s">
        <v>27</v>
      </c>
      <c r="K105" s="5" t="n">
        <f aca="false">INDEX(Parametros!$C$16:$C$18,MATCH($C105,Parametros!$A$16:$A$18,0))</f>
        <v>100</v>
      </c>
      <c r="L105" s="5" t="n">
        <f aca="false">I105*K105</f>
        <v>550</v>
      </c>
      <c r="M105" s="5" t="n">
        <v>387</v>
      </c>
      <c r="N105" s="5" t="n">
        <v>381</v>
      </c>
      <c r="O105" s="5" t="n">
        <f aca="false">M105-N105</f>
        <v>6</v>
      </c>
      <c r="P105" s="8" t="n">
        <f aca="false">IFERROR(I105/G105,0)</f>
        <v>1</v>
      </c>
      <c r="Q105" s="8" t="n">
        <f aca="false">IFERROR(M105/L105,0)</f>
        <v>0.703636363636364</v>
      </c>
      <c r="R105" s="8" t="n">
        <f aca="false">IFERROR(N105/M105,0)</f>
        <v>0.984496124031008</v>
      </c>
      <c r="S105" s="8" t="n">
        <f aca="false">P105*Q105*R105</f>
        <v>0.692727272727273</v>
      </c>
    </row>
    <row r="106" customFormat="false" ht="15" hidden="false" customHeight="false" outlineLevel="0" collapsed="false">
      <c r="A106" s="4" t="n">
        <v>46063</v>
      </c>
      <c r="B106" s="5" t="n">
        <f aca="false">MONTH($A106)</f>
        <v>2</v>
      </c>
      <c r="C106" s="5" t="n">
        <v>2</v>
      </c>
      <c r="D106" s="6" t="str">
        <f aca="false">INDEX(Parametros!$B$16:$B$18,MATCH($C106,Parametros!$A$16:$A$18,0))</f>
        <v>E2 - Llenado y tapado</v>
      </c>
      <c r="E106" s="7" t="n">
        <f aca="false">IF(WEEKDAY($A106,2)&lt;6,Parametros!$B$21,Parametros!$B$22)</f>
        <v>6</v>
      </c>
      <c r="F106" s="7" t="n">
        <v>0.75</v>
      </c>
      <c r="G106" s="7" t="n">
        <f aca="false">E106-F106</f>
        <v>5.25</v>
      </c>
      <c r="H106" s="7" t="n">
        <v>0.75</v>
      </c>
      <c r="I106" s="7" t="n">
        <f aca="false">G106-H106</f>
        <v>4.5</v>
      </c>
      <c r="J106" s="6" t="s">
        <v>23</v>
      </c>
      <c r="K106" s="5" t="n">
        <f aca="false">INDEX(Parametros!$C$16:$C$18,MATCH($C106,Parametros!$A$16:$A$18,0))</f>
        <v>95</v>
      </c>
      <c r="L106" s="5" t="n">
        <f aca="false">I106*K106</f>
        <v>427.5</v>
      </c>
      <c r="M106" s="5" t="n">
        <v>381</v>
      </c>
      <c r="N106" s="5" t="n">
        <v>372</v>
      </c>
      <c r="O106" s="5" t="n">
        <f aca="false">M106-N106</f>
        <v>9</v>
      </c>
      <c r="P106" s="8" t="n">
        <f aca="false">IFERROR(I106/G106,0)</f>
        <v>0.857142857142857</v>
      </c>
      <c r="Q106" s="8" t="n">
        <f aca="false">IFERROR(M106/L106,0)</f>
        <v>0.891228070175439</v>
      </c>
      <c r="R106" s="8" t="n">
        <f aca="false">IFERROR(N106/M106,0)</f>
        <v>0.976377952755906</v>
      </c>
      <c r="S106" s="8" t="n">
        <f aca="false">P106*Q106*R106</f>
        <v>0.745864661654135</v>
      </c>
    </row>
    <row r="107" customFormat="false" ht="15" hidden="false" customHeight="false" outlineLevel="0" collapsed="false">
      <c r="A107" s="4" t="n">
        <v>46063</v>
      </c>
      <c r="B107" s="5" t="n">
        <f aca="false">MONTH($A107)</f>
        <v>2</v>
      </c>
      <c r="C107" s="5" t="n">
        <v>3</v>
      </c>
      <c r="D107" s="6" t="str">
        <f aca="false">INDEX(Parametros!$B$16:$B$18,MATCH($C107,Parametros!$A$16:$A$18,0))</f>
        <v>E3 - Sellado y etiquetado</v>
      </c>
      <c r="E107" s="7" t="n">
        <f aca="false">IF(WEEKDAY($A107,2)&lt;6,Parametros!$B$21,Parametros!$B$22)</f>
        <v>6</v>
      </c>
      <c r="F107" s="7" t="n">
        <v>0.25</v>
      </c>
      <c r="G107" s="7" t="n">
        <f aca="false">E107-F107</f>
        <v>5.75</v>
      </c>
      <c r="H107" s="7" t="n">
        <v>0</v>
      </c>
      <c r="I107" s="7" t="n">
        <f aca="false">G107-H107</f>
        <v>5.75</v>
      </c>
      <c r="J107" s="6" t="s">
        <v>27</v>
      </c>
      <c r="K107" s="5" t="n">
        <f aca="false">INDEX(Parametros!$C$16:$C$18,MATCH($C107,Parametros!$A$16:$A$18,0))</f>
        <v>95</v>
      </c>
      <c r="L107" s="5" t="n">
        <f aca="false">I107*K107</f>
        <v>546.25</v>
      </c>
      <c r="M107" s="5" t="n">
        <v>372</v>
      </c>
      <c r="N107" s="5" t="n">
        <v>369</v>
      </c>
      <c r="O107" s="5" t="n">
        <f aca="false">M107-N107</f>
        <v>3</v>
      </c>
      <c r="P107" s="8" t="n">
        <f aca="false">IFERROR(I107/G107,0)</f>
        <v>1</v>
      </c>
      <c r="Q107" s="8" t="n">
        <f aca="false">IFERROR(M107/L107,0)</f>
        <v>0.681006864988558</v>
      </c>
      <c r="R107" s="8" t="n">
        <f aca="false">IFERROR(N107/M107,0)</f>
        <v>0.991935483870968</v>
      </c>
      <c r="S107" s="8" t="n">
        <f aca="false">P107*Q107*R107</f>
        <v>0.675514874141876</v>
      </c>
    </row>
    <row r="108" customFormat="false" ht="15" hidden="false" customHeight="false" outlineLevel="0" collapsed="false">
      <c r="A108" s="4" t="n">
        <v>46064</v>
      </c>
      <c r="B108" s="5" t="n">
        <f aca="false">MONTH($A108)</f>
        <v>2</v>
      </c>
      <c r="C108" s="5" t="n">
        <v>1</v>
      </c>
      <c r="D108" s="6" t="str">
        <f aca="false">INDEX(Parametros!$B$16:$B$18,MATCH($C108,Parametros!$A$16:$A$18,0))</f>
        <v>E1 - Lavado y sanitizado de bidones</v>
      </c>
      <c r="E108" s="7" t="n">
        <f aca="false">IF(WEEKDAY($A108,2)&lt;6,Parametros!$B$21,Parametros!$B$22)</f>
        <v>6</v>
      </c>
      <c r="F108" s="7" t="n">
        <v>0.5</v>
      </c>
      <c r="G108" s="7" t="n">
        <f aca="false">E108-F108</f>
        <v>5.5</v>
      </c>
      <c r="H108" s="7" t="n">
        <v>0.25</v>
      </c>
      <c r="I108" s="7" t="n">
        <f aca="false">G108-H108</f>
        <v>5.25</v>
      </c>
      <c r="J108" s="6" t="s">
        <v>22</v>
      </c>
      <c r="K108" s="5" t="n">
        <f aca="false">INDEX(Parametros!$C$16:$C$18,MATCH($C108,Parametros!$A$16:$A$18,0))</f>
        <v>100</v>
      </c>
      <c r="L108" s="5" t="n">
        <f aca="false">I108*K108</f>
        <v>525</v>
      </c>
      <c r="M108" s="5" t="n">
        <v>337</v>
      </c>
      <c r="N108" s="5" t="n">
        <v>331</v>
      </c>
      <c r="O108" s="5" t="n">
        <f aca="false">M108-N108</f>
        <v>6</v>
      </c>
      <c r="P108" s="8" t="n">
        <f aca="false">IFERROR(I108/G108,0)</f>
        <v>0.954545454545455</v>
      </c>
      <c r="Q108" s="8" t="n">
        <f aca="false">IFERROR(M108/L108,0)</f>
        <v>0.641904761904762</v>
      </c>
      <c r="R108" s="8" t="n">
        <f aca="false">IFERROR(N108/M108,0)</f>
        <v>0.982195845697329</v>
      </c>
      <c r="S108" s="8" t="n">
        <f aca="false">P108*Q108*R108</f>
        <v>0.601818181818182</v>
      </c>
    </row>
    <row r="109" customFormat="false" ht="15" hidden="false" customHeight="false" outlineLevel="0" collapsed="false">
      <c r="A109" s="4" t="n">
        <v>46064</v>
      </c>
      <c r="B109" s="5" t="n">
        <f aca="false">MONTH($A109)</f>
        <v>2</v>
      </c>
      <c r="C109" s="5" t="n">
        <v>2</v>
      </c>
      <c r="D109" s="6" t="str">
        <f aca="false">INDEX(Parametros!$B$16:$B$18,MATCH($C109,Parametros!$A$16:$A$18,0))</f>
        <v>E2 - Llenado y tapado</v>
      </c>
      <c r="E109" s="7" t="n">
        <f aca="false">IF(WEEKDAY($A109,2)&lt;6,Parametros!$B$21,Parametros!$B$22)</f>
        <v>6</v>
      </c>
      <c r="F109" s="7" t="n">
        <v>0.75</v>
      </c>
      <c r="G109" s="7" t="n">
        <f aca="false">E109-F109</f>
        <v>5.25</v>
      </c>
      <c r="H109" s="7" t="n">
        <v>1</v>
      </c>
      <c r="I109" s="7" t="n">
        <f aca="false">G109-H109</f>
        <v>4.25</v>
      </c>
      <c r="J109" s="6" t="s">
        <v>23</v>
      </c>
      <c r="K109" s="5" t="n">
        <f aca="false">INDEX(Parametros!$C$16:$C$18,MATCH($C109,Parametros!$A$16:$A$18,0))</f>
        <v>95</v>
      </c>
      <c r="L109" s="5" t="n">
        <f aca="false">I109*K109</f>
        <v>403.75</v>
      </c>
      <c r="M109" s="5" t="n">
        <v>331</v>
      </c>
      <c r="N109" s="5" t="n">
        <v>324</v>
      </c>
      <c r="O109" s="5" t="n">
        <f aca="false">M109-N109</f>
        <v>7</v>
      </c>
      <c r="P109" s="8" t="n">
        <f aca="false">IFERROR(I109/G109,0)</f>
        <v>0.80952380952381</v>
      </c>
      <c r="Q109" s="8" t="n">
        <f aca="false">IFERROR(M109/L109,0)</f>
        <v>0.819814241486068</v>
      </c>
      <c r="R109" s="8" t="n">
        <f aca="false">IFERROR(N109/M109,0)</f>
        <v>0.978851963746224</v>
      </c>
      <c r="S109" s="8" t="n">
        <f aca="false">P109*Q109*R109</f>
        <v>0.649624060150376</v>
      </c>
    </row>
    <row r="110" customFormat="false" ht="15" hidden="false" customHeight="false" outlineLevel="0" collapsed="false">
      <c r="A110" s="4" t="n">
        <v>46064</v>
      </c>
      <c r="B110" s="5" t="n">
        <f aca="false">MONTH($A110)</f>
        <v>2</v>
      </c>
      <c r="C110" s="5" t="n">
        <v>3</v>
      </c>
      <c r="D110" s="6" t="str">
        <f aca="false">INDEX(Parametros!$B$16:$B$18,MATCH($C110,Parametros!$A$16:$A$18,0))</f>
        <v>E3 - Sellado y etiquetado</v>
      </c>
      <c r="E110" s="7" t="n">
        <f aca="false">IF(WEEKDAY($A110,2)&lt;6,Parametros!$B$21,Parametros!$B$22)</f>
        <v>6</v>
      </c>
      <c r="F110" s="7" t="n">
        <v>0.25</v>
      </c>
      <c r="G110" s="7" t="n">
        <f aca="false">E110-F110</f>
        <v>5.75</v>
      </c>
      <c r="H110" s="7" t="n">
        <v>0</v>
      </c>
      <c r="I110" s="7" t="n">
        <f aca="false">G110-H110</f>
        <v>5.75</v>
      </c>
      <c r="J110" s="6" t="s">
        <v>27</v>
      </c>
      <c r="K110" s="5" t="n">
        <f aca="false">INDEX(Parametros!$C$16:$C$18,MATCH($C110,Parametros!$A$16:$A$18,0))</f>
        <v>95</v>
      </c>
      <c r="L110" s="5" t="n">
        <f aca="false">I110*K110</f>
        <v>546.25</v>
      </c>
      <c r="M110" s="5" t="n">
        <v>324</v>
      </c>
      <c r="N110" s="5" t="n">
        <v>321</v>
      </c>
      <c r="O110" s="5" t="n">
        <f aca="false">M110-N110</f>
        <v>3</v>
      </c>
      <c r="P110" s="8" t="n">
        <f aca="false">IFERROR(I110/G110,0)</f>
        <v>1</v>
      </c>
      <c r="Q110" s="8" t="n">
        <f aca="false">IFERROR(M110/L110,0)</f>
        <v>0.593135011441648</v>
      </c>
      <c r="R110" s="8" t="n">
        <f aca="false">IFERROR(N110/M110,0)</f>
        <v>0.990740740740741</v>
      </c>
      <c r="S110" s="8" t="n">
        <f aca="false">P110*Q110*R110</f>
        <v>0.587643020594966</v>
      </c>
    </row>
    <row r="111" customFormat="false" ht="15" hidden="false" customHeight="false" outlineLevel="0" collapsed="false">
      <c r="A111" s="4" t="n">
        <v>46065</v>
      </c>
      <c r="B111" s="5" t="n">
        <f aca="false">MONTH($A111)</f>
        <v>2</v>
      </c>
      <c r="C111" s="5" t="n">
        <v>1</v>
      </c>
      <c r="D111" s="6" t="str">
        <f aca="false">INDEX(Parametros!$B$16:$B$18,MATCH($C111,Parametros!$A$16:$A$18,0))</f>
        <v>E1 - Lavado y sanitizado de bidones</v>
      </c>
      <c r="E111" s="7" t="n">
        <f aca="false">IF(WEEKDAY($A111,2)&lt;6,Parametros!$B$21,Parametros!$B$22)</f>
        <v>6</v>
      </c>
      <c r="F111" s="7" t="n">
        <v>0.75</v>
      </c>
      <c r="G111" s="7" t="n">
        <f aca="false">E111-F111</f>
        <v>5.25</v>
      </c>
      <c r="H111" s="7" t="n">
        <v>0</v>
      </c>
      <c r="I111" s="7" t="n">
        <f aca="false">G111-H111</f>
        <v>5.25</v>
      </c>
      <c r="J111" s="6" t="s">
        <v>27</v>
      </c>
      <c r="K111" s="5" t="n">
        <f aca="false">INDEX(Parametros!$C$16:$C$18,MATCH($C111,Parametros!$A$16:$A$18,0))</f>
        <v>100</v>
      </c>
      <c r="L111" s="5" t="n">
        <f aca="false">I111*K111</f>
        <v>525</v>
      </c>
      <c r="M111" s="5" t="n">
        <v>399</v>
      </c>
      <c r="N111" s="5" t="n">
        <v>392</v>
      </c>
      <c r="O111" s="5" t="n">
        <f aca="false">M111-N111</f>
        <v>7</v>
      </c>
      <c r="P111" s="8" t="n">
        <f aca="false">IFERROR(I111/G111,0)</f>
        <v>1</v>
      </c>
      <c r="Q111" s="8" t="n">
        <f aca="false">IFERROR(M111/L111,0)</f>
        <v>0.76</v>
      </c>
      <c r="R111" s="8" t="n">
        <f aca="false">IFERROR(N111/M111,0)</f>
        <v>0.982456140350877</v>
      </c>
      <c r="S111" s="8" t="n">
        <f aca="false">P111*Q111*R111</f>
        <v>0.746666666666667</v>
      </c>
    </row>
    <row r="112" customFormat="false" ht="15" hidden="false" customHeight="false" outlineLevel="0" collapsed="false">
      <c r="A112" s="4" t="n">
        <v>46065</v>
      </c>
      <c r="B112" s="5" t="n">
        <f aca="false">MONTH($A112)</f>
        <v>2</v>
      </c>
      <c r="C112" s="5" t="n">
        <v>2</v>
      </c>
      <c r="D112" s="6" t="str">
        <f aca="false">INDEX(Parametros!$B$16:$B$18,MATCH($C112,Parametros!$A$16:$A$18,0))</f>
        <v>E2 - Llenado y tapado</v>
      </c>
      <c r="E112" s="7" t="n">
        <f aca="false">IF(WEEKDAY($A112,2)&lt;6,Parametros!$B$21,Parametros!$B$22)</f>
        <v>6</v>
      </c>
      <c r="F112" s="7" t="n">
        <v>0.75</v>
      </c>
      <c r="G112" s="7" t="n">
        <f aca="false">E112-F112</f>
        <v>5.25</v>
      </c>
      <c r="H112" s="7" t="n">
        <v>0.75</v>
      </c>
      <c r="I112" s="7" t="n">
        <f aca="false">G112-H112</f>
        <v>4.5</v>
      </c>
      <c r="J112" s="6" t="s">
        <v>26</v>
      </c>
      <c r="K112" s="5" t="n">
        <f aca="false">INDEX(Parametros!$C$16:$C$18,MATCH($C112,Parametros!$A$16:$A$18,0))</f>
        <v>95</v>
      </c>
      <c r="L112" s="5" t="n">
        <f aca="false">I112*K112</f>
        <v>427.5</v>
      </c>
      <c r="M112" s="5" t="n">
        <v>392</v>
      </c>
      <c r="N112" s="5" t="n">
        <v>382</v>
      </c>
      <c r="O112" s="5" t="n">
        <f aca="false">M112-N112</f>
        <v>10</v>
      </c>
      <c r="P112" s="8" t="n">
        <f aca="false">IFERROR(I112/G112,0)</f>
        <v>0.857142857142857</v>
      </c>
      <c r="Q112" s="8" t="n">
        <f aca="false">IFERROR(M112/L112,0)</f>
        <v>0.916959064327485</v>
      </c>
      <c r="R112" s="8" t="n">
        <f aca="false">IFERROR(N112/M112,0)</f>
        <v>0.974489795918367</v>
      </c>
      <c r="S112" s="8" t="n">
        <f aca="false">P112*Q112*R112</f>
        <v>0.765914786967419</v>
      </c>
    </row>
    <row r="113" customFormat="false" ht="15" hidden="false" customHeight="false" outlineLevel="0" collapsed="false">
      <c r="A113" s="4" t="n">
        <v>46065</v>
      </c>
      <c r="B113" s="5" t="n">
        <f aca="false">MONTH($A113)</f>
        <v>2</v>
      </c>
      <c r="C113" s="5" t="n">
        <v>3</v>
      </c>
      <c r="D113" s="6" t="str">
        <f aca="false">INDEX(Parametros!$B$16:$B$18,MATCH($C113,Parametros!$A$16:$A$18,0))</f>
        <v>E3 - Sellado y etiquetado</v>
      </c>
      <c r="E113" s="7" t="n">
        <f aca="false">IF(WEEKDAY($A113,2)&lt;6,Parametros!$B$21,Parametros!$B$22)</f>
        <v>6</v>
      </c>
      <c r="F113" s="7" t="n">
        <v>0.25</v>
      </c>
      <c r="G113" s="7" t="n">
        <f aca="false">E113-F113</f>
        <v>5.75</v>
      </c>
      <c r="H113" s="7" t="n">
        <v>0</v>
      </c>
      <c r="I113" s="7" t="n">
        <f aca="false">G113-H113</f>
        <v>5.75</v>
      </c>
      <c r="J113" s="6" t="s">
        <v>27</v>
      </c>
      <c r="K113" s="5" t="n">
        <f aca="false">INDEX(Parametros!$C$16:$C$18,MATCH($C113,Parametros!$A$16:$A$18,0))</f>
        <v>95</v>
      </c>
      <c r="L113" s="5" t="n">
        <f aca="false">I113*K113</f>
        <v>546.25</v>
      </c>
      <c r="M113" s="5" t="n">
        <v>382</v>
      </c>
      <c r="N113" s="5" t="n">
        <v>380</v>
      </c>
      <c r="O113" s="5" t="n">
        <f aca="false">M113-N113</f>
        <v>2</v>
      </c>
      <c r="P113" s="8" t="n">
        <f aca="false">IFERROR(I113/G113,0)</f>
        <v>1</v>
      </c>
      <c r="Q113" s="8" t="n">
        <f aca="false">IFERROR(M113/L113,0)</f>
        <v>0.699313501144165</v>
      </c>
      <c r="R113" s="8" t="n">
        <f aca="false">IFERROR(N113/M113,0)</f>
        <v>0.994764397905759</v>
      </c>
      <c r="S113" s="8" t="n">
        <f aca="false">P113*Q113*R113</f>
        <v>0.695652173913044</v>
      </c>
    </row>
    <row r="114" customFormat="false" ht="15" hidden="false" customHeight="false" outlineLevel="0" collapsed="false">
      <c r="A114" s="4" t="n">
        <v>46066</v>
      </c>
      <c r="B114" s="5" t="n">
        <f aca="false">MONTH($A114)</f>
        <v>2</v>
      </c>
      <c r="C114" s="5" t="n">
        <v>1</v>
      </c>
      <c r="D114" s="6" t="str">
        <f aca="false">INDEX(Parametros!$B$16:$B$18,MATCH($C114,Parametros!$A$16:$A$18,0))</f>
        <v>E1 - Lavado y sanitizado de bidones</v>
      </c>
      <c r="E114" s="7" t="n">
        <f aca="false">IF(WEEKDAY($A114,2)&lt;6,Parametros!$B$21,Parametros!$B$22)</f>
        <v>6</v>
      </c>
      <c r="F114" s="7" t="n">
        <v>0.5</v>
      </c>
      <c r="G114" s="7" t="n">
        <f aca="false">E114-F114</f>
        <v>5.5</v>
      </c>
      <c r="H114" s="7" t="n">
        <v>0</v>
      </c>
      <c r="I114" s="7" t="n">
        <f aca="false">G114-H114</f>
        <v>5.5</v>
      </c>
      <c r="J114" s="6" t="s">
        <v>27</v>
      </c>
      <c r="K114" s="5" t="n">
        <f aca="false">INDEX(Parametros!$C$16:$C$18,MATCH($C114,Parametros!$A$16:$A$18,0))</f>
        <v>100</v>
      </c>
      <c r="L114" s="5" t="n">
        <f aca="false">I114*K114</f>
        <v>550</v>
      </c>
      <c r="M114" s="5" t="n">
        <v>356</v>
      </c>
      <c r="N114" s="5" t="n">
        <v>351</v>
      </c>
      <c r="O114" s="5" t="n">
        <f aca="false">M114-N114</f>
        <v>5</v>
      </c>
      <c r="P114" s="8" t="n">
        <f aca="false">IFERROR(I114/G114,0)</f>
        <v>1</v>
      </c>
      <c r="Q114" s="8" t="n">
        <f aca="false">IFERROR(M114/L114,0)</f>
        <v>0.647272727272727</v>
      </c>
      <c r="R114" s="8" t="n">
        <f aca="false">IFERROR(N114/M114,0)</f>
        <v>0.985955056179775</v>
      </c>
      <c r="S114" s="8" t="n">
        <f aca="false">P114*Q114*R114</f>
        <v>0.638181818181818</v>
      </c>
    </row>
    <row r="115" customFormat="false" ht="15" hidden="false" customHeight="false" outlineLevel="0" collapsed="false">
      <c r="A115" s="4" t="n">
        <v>46066</v>
      </c>
      <c r="B115" s="5" t="n">
        <f aca="false">MONTH($A115)</f>
        <v>2</v>
      </c>
      <c r="C115" s="5" t="n">
        <v>2</v>
      </c>
      <c r="D115" s="6" t="str">
        <f aca="false">INDEX(Parametros!$B$16:$B$18,MATCH($C115,Parametros!$A$16:$A$18,0))</f>
        <v>E2 - Llenado y tapado</v>
      </c>
      <c r="E115" s="7" t="n">
        <f aca="false">IF(WEEKDAY($A115,2)&lt;6,Parametros!$B$21,Parametros!$B$22)</f>
        <v>6</v>
      </c>
      <c r="F115" s="7" t="n">
        <v>0.75</v>
      </c>
      <c r="G115" s="7" t="n">
        <f aca="false">E115-F115</f>
        <v>5.25</v>
      </c>
      <c r="H115" s="7" t="n">
        <v>0</v>
      </c>
      <c r="I115" s="7" t="n">
        <f aca="false">G115-H115</f>
        <v>5.25</v>
      </c>
      <c r="J115" s="6" t="s">
        <v>27</v>
      </c>
      <c r="K115" s="5" t="n">
        <f aca="false">INDEX(Parametros!$C$16:$C$18,MATCH($C115,Parametros!$A$16:$A$18,0))</f>
        <v>95</v>
      </c>
      <c r="L115" s="5" t="n">
        <f aca="false">I115*K115</f>
        <v>498.75</v>
      </c>
      <c r="M115" s="5" t="n">
        <v>351</v>
      </c>
      <c r="N115" s="5" t="n">
        <v>347</v>
      </c>
      <c r="O115" s="5" t="n">
        <f aca="false">M115-N115</f>
        <v>4</v>
      </c>
      <c r="P115" s="8" t="n">
        <f aca="false">IFERROR(I115/G115,0)</f>
        <v>1</v>
      </c>
      <c r="Q115" s="8" t="n">
        <f aca="false">IFERROR(M115/L115,0)</f>
        <v>0.703759398496241</v>
      </c>
      <c r="R115" s="8" t="n">
        <f aca="false">IFERROR(N115/M115,0)</f>
        <v>0.988603988603989</v>
      </c>
      <c r="S115" s="8" t="n">
        <f aca="false">P115*Q115*R115</f>
        <v>0.695739348370927</v>
      </c>
    </row>
    <row r="116" customFormat="false" ht="15" hidden="false" customHeight="false" outlineLevel="0" collapsed="false">
      <c r="A116" s="4" t="n">
        <v>46066</v>
      </c>
      <c r="B116" s="5" t="n">
        <f aca="false">MONTH($A116)</f>
        <v>2</v>
      </c>
      <c r="C116" s="5" t="n">
        <v>3</v>
      </c>
      <c r="D116" s="6" t="str">
        <f aca="false">INDEX(Parametros!$B$16:$B$18,MATCH($C116,Parametros!$A$16:$A$18,0))</f>
        <v>E3 - Sellado y etiquetado</v>
      </c>
      <c r="E116" s="7" t="n">
        <f aca="false">IF(WEEKDAY($A116,2)&lt;6,Parametros!$B$21,Parametros!$B$22)</f>
        <v>6</v>
      </c>
      <c r="F116" s="7" t="n">
        <v>0.25</v>
      </c>
      <c r="G116" s="7" t="n">
        <f aca="false">E116-F116</f>
        <v>5.75</v>
      </c>
      <c r="H116" s="7" t="n">
        <v>0</v>
      </c>
      <c r="I116" s="7" t="n">
        <f aca="false">G116-H116</f>
        <v>5.75</v>
      </c>
      <c r="J116" s="6" t="s">
        <v>27</v>
      </c>
      <c r="K116" s="5" t="n">
        <f aca="false">INDEX(Parametros!$C$16:$C$18,MATCH($C116,Parametros!$A$16:$A$18,0))</f>
        <v>95</v>
      </c>
      <c r="L116" s="5" t="n">
        <f aca="false">I116*K116</f>
        <v>546.25</v>
      </c>
      <c r="M116" s="5" t="n">
        <v>347</v>
      </c>
      <c r="N116" s="5" t="n">
        <v>344</v>
      </c>
      <c r="O116" s="5" t="n">
        <f aca="false">M116-N116</f>
        <v>3</v>
      </c>
      <c r="P116" s="8" t="n">
        <f aca="false">IFERROR(I116/G116,0)</f>
        <v>1</v>
      </c>
      <c r="Q116" s="8" t="n">
        <f aca="false">IFERROR(M116/L116,0)</f>
        <v>0.635240274599542</v>
      </c>
      <c r="R116" s="8" t="n">
        <f aca="false">IFERROR(N116/M116,0)</f>
        <v>0.99135446685879</v>
      </c>
      <c r="S116" s="8" t="n">
        <f aca="false">P116*Q116*R116</f>
        <v>0.62974828375286</v>
      </c>
    </row>
    <row r="117" customFormat="false" ht="15" hidden="false" customHeight="false" outlineLevel="0" collapsed="false">
      <c r="A117" s="4" t="n">
        <v>46067</v>
      </c>
      <c r="B117" s="5" t="n">
        <f aca="false">MONTH($A117)</f>
        <v>2</v>
      </c>
      <c r="C117" s="5" t="n">
        <v>1</v>
      </c>
      <c r="D117" s="6" t="str">
        <f aca="false">INDEX(Parametros!$B$16:$B$18,MATCH($C117,Parametros!$A$16:$A$18,0))</f>
        <v>E1 - Lavado y sanitizado de bidones</v>
      </c>
      <c r="E117" s="7" t="n">
        <f aca="false">IF(WEEKDAY($A117,2)&lt;6,Parametros!$B$21,Parametros!$B$22)</f>
        <v>4</v>
      </c>
      <c r="F117" s="7" t="n">
        <v>0.75</v>
      </c>
      <c r="G117" s="7" t="n">
        <f aca="false">E117-F117</f>
        <v>3.25</v>
      </c>
      <c r="H117" s="7" t="n">
        <v>0.5</v>
      </c>
      <c r="I117" s="7" t="n">
        <f aca="false">G117-H117</f>
        <v>2.75</v>
      </c>
      <c r="J117" s="6" t="s">
        <v>30</v>
      </c>
      <c r="K117" s="5" t="n">
        <f aca="false">INDEX(Parametros!$C$16:$C$18,MATCH($C117,Parametros!$A$16:$A$18,0))</f>
        <v>100</v>
      </c>
      <c r="L117" s="5" t="n">
        <f aca="false">I117*K117</f>
        <v>275</v>
      </c>
      <c r="M117" s="5" t="n">
        <v>216</v>
      </c>
      <c r="N117" s="5" t="n">
        <v>212</v>
      </c>
      <c r="O117" s="5" t="n">
        <f aca="false">M117-N117</f>
        <v>4</v>
      </c>
      <c r="P117" s="8" t="n">
        <f aca="false">IFERROR(I117/G117,0)</f>
        <v>0.846153846153846</v>
      </c>
      <c r="Q117" s="8" t="n">
        <f aca="false">IFERROR(M117/L117,0)</f>
        <v>0.785454545454545</v>
      </c>
      <c r="R117" s="8" t="n">
        <f aca="false">IFERROR(N117/M117,0)</f>
        <v>0.981481481481482</v>
      </c>
      <c r="S117" s="8" t="n">
        <f aca="false">P117*Q117*R117</f>
        <v>0.652307692307692</v>
      </c>
    </row>
    <row r="118" customFormat="false" ht="15" hidden="false" customHeight="false" outlineLevel="0" collapsed="false">
      <c r="A118" s="4" t="n">
        <v>46067</v>
      </c>
      <c r="B118" s="5" t="n">
        <f aca="false">MONTH($A118)</f>
        <v>2</v>
      </c>
      <c r="C118" s="5" t="n">
        <v>2</v>
      </c>
      <c r="D118" s="6" t="str">
        <f aca="false">INDEX(Parametros!$B$16:$B$18,MATCH($C118,Parametros!$A$16:$A$18,0))</f>
        <v>E2 - Llenado y tapado</v>
      </c>
      <c r="E118" s="7" t="n">
        <f aca="false">IF(WEEKDAY($A118,2)&lt;6,Parametros!$B$21,Parametros!$B$22)</f>
        <v>4</v>
      </c>
      <c r="F118" s="7" t="n">
        <v>1</v>
      </c>
      <c r="G118" s="7" t="n">
        <f aca="false">E118-F118</f>
        <v>3</v>
      </c>
      <c r="H118" s="7" t="n">
        <v>0</v>
      </c>
      <c r="I118" s="7" t="n">
        <f aca="false">G118-H118</f>
        <v>3</v>
      </c>
      <c r="J118" s="6" t="s">
        <v>27</v>
      </c>
      <c r="K118" s="5" t="n">
        <f aca="false">INDEX(Parametros!$C$16:$C$18,MATCH($C118,Parametros!$A$16:$A$18,0))</f>
        <v>95</v>
      </c>
      <c r="L118" s="5" t="n">
        <f aca="false">I118*K118</f>
        <v>285</v>
      </c>
      <c r="M118" s="5" t="n">
        <v>212</v>
      </c>
      <c r="N118" s="5" t="n">
        <v>208</v>
      </c>
      <c r="O118" s="5" t="n">
        <f aca="false">M118-N118</f>
        <v>4</v>
      </c>
      <c r="P118" s="8" t="n">
        <f aca="false">IFERROR(I118/G118,0)</f>
        <v>1</v>
      </c>
      <c r="Q118" s="8" t="n">
        <f aca="false">IFERROR(M118/L118,0)</f>
        <v>0.743859649122807</v>
      </c>
      <c r="R118" s="8" t="n">
        <f aca="false">IFERROR(N118/M118,0)</f>
        <v>0.981132075471698</v>
      </c>
      <c r="S118" s="8" t="n">
        <f aca="false">P118*Q118*R118</f>
        <v>0.729824561403509</v>
      </c>
    </row>
    <row r="119" customFormat="false" ht="15" hidden="false" customHeight="false" outlineLevel="0" collapsed="false">
      <c r="A119" s="4" t="n">
        <v>46067</v>
      </c>
      <c r="B119" s="5" t="n">
        <f aca="false">MONTH($A119)</f>
        <v>2</v>
      </c>
      <c r="C119" s="5" t="n">
        <v>3</v>
      </c>
      <c r="D119" s="6" t="str">
        <f aca="false">INDEX(Parametros!$B$16:$B$18,MATCH($C119,Parametros!$A$16:$A$18,0))</f>
        <v>E3 - Sellado y etiquetado</v>
      </c>
      <c r="E119" s="7" t="n">
        <f aca="false">IF(WEEKDAY($A119,2)&lt;6,Parametros!$B$21,Parametros!$B$22)</f>
        <v>4</v>
      </c>
      <c r="F119" s="7" t="n">
        <v>0.5</v>
      </c>
      <c r="G119" s="7" t="n">
        <f aca="false">E119-F119</f>
        <v>3.5</v>
      </c>
      <c r="H119" s="7" t="n">
        <v>0</v>
      </c>
      <c r="I119" s="7" t="n">
        <f aca="false">G119-H119</f>
        <v>3.5</v>
      </c>
      <c r="J119" s="6" t="s">
        <v>27</v>
      </c>
      <c r="K119" s="5" t="n">
        <f aca="false">INDEX(Parametros!$C$16:$C$18,MATCH($C119,Parametros!$A$16:$A$18,0))</f>
        <v>95</v>
      </c>
      <c r="L119" s="5" t="n">
        <f aca="false">I119*K119</f>
        <v>332.5</v>
      </c>
      <c r="M119" s="5" t="n">
        <v>208</v>
      </c>
      <c r="N119" s="5" t="n">
        <v>207</v>
      </c>
      <c r="O119" s="5" t="n">
        <f aca="false">M119-N119</f>
        <v>1</v>
      </c>
      <c r="P119" s="8" t="n">
        <f aca="false">IFERROR(I119/G119,0)</f>
        <v>1</v>
      </c>
      <c r="Q119" s="8" t="n">
        <f aca="false">IFERROR(M119/L119,0)</f>
        <v>0.625563909774436</v>
      </c>
      <c r="R119" s="8" t="n">
        <f aca="false">IFERROR(N119/M119,0)</f>
        <v>0.995192307692308</v>
      </c>
      <c r="S119" s="8" t="n">
        <f aca="false">P119*Q119*R119</f>
        <v>0.622556390977444</v>
      </c>
    </row>
    <row r="120" customFormat="false" ht="15" hidden="false" customHeight="false" outlineLevel="0" collapsed="false">
      <c r="A120" s="4" t="n">
        <v>46069</v>
      </c>
      <c r="B120" s="5" t="n">
        <f aca="false">MONTH($A120)</f>
        <v>2</v>
      </c>
      <c r="C120" s="5" t="n">
        <v>1</v>
      </c>
      <c r="D120" s="6" t="str">
        <f aca="false">INDEX(Parametros!$B$16:$B$18,MATCH($C120,Parametros!$A$16:$A$18,0))</f>
        <v>E1 - Lavado y sanitizado de bidones</v>
      </c>
      <c r="E120" s="7" t="n">
        <f aca="false">IF(WEEKDAY($A120,2)&lt;6,Parametros!$B$21,Parametros!$B$22)</f>
        <v>6</v>
      </c>
      <c r="F120" s="7" t="n">
        <v>0.5</v>
      </c>
      <c r="G120" s="7" t="n">
        <f aca="false">E120-F120</f>
        <v>5.5</v>
      </c>
      <c r="H120" s="7" t="n">
        <v>2</v>
      </c>
      <c r="I120" s="7" t="n">
        <f aca="false">G120-H120</f>
        <v>3.5</v>
      </c>
      <c r="J120" s="6" t="s">
        <v>30</v>
      </c>
      <c r="K120" s="5" t="n">
        <f aca="false">INDEX(Parametros!$C$16:$C$18,MATCH($C120,Parametros!$A$16:$A$18,0))</f>
        <v>100</v>
      </c>
      <c r="L120" s="5" t="n">
        <f aca="false">I120*K120</f>
        <v>350</v>
      </c>
      <c r="M120" s="5" t="n">
        <v>273</v>
      </c>
      <c r="N120" s="5" t="n">
        <v>268</v>
      </c>
      <c r="O120" s="5" t="n">
        <f aca="false">M120-N120</f>
        <v>5</v>
      </c>
      <c r="P120" s="8" t="n">
        <f aca="false">IFERROR(I120/G120,0)</f>
        <v>0.636363636363636</v>
      </c>
      <c r="Q120" s="8" t="n">
        <f aca="false">IFERROR(M120/L120,0)</f>
        <v>0.78</v>
      </c>
      <c r="R120" s="8" t="n">
        <f aca="false">IFERROR(N120/M120,0)</f>
        <v>0.981684981684982</v>
      </c>
      <c r="S120" s="8" t="n">
        <f aca="false">P120*Q120*R120</f>
        <v>0.487272727272727</v>
      </c>
    </row>
    <row r="121" customFormat="false" ht="15" hidden="false" customHeight="false" outlineLevel="0" collapsed="false">
      <c r="A121" s="4" t="n">
        <v>46069</v>
      </c>
      <c r="B121" s="5" t="n">
        <f aca="false">MONTH($A121)</f>
        <v>2</v>
      </c>
      <c r="C121" s="5" t="n">
        <v>2</v>
      </c>
      <c r="D121" s="6" t="str">
        <f aca="false">INDEX(Parametros!$B$16:$B$18,MATCH($C121,Parametros!$A$16:$A$18,0))</f>
        <v>E2 - Llenado y tapado</v>
      </c>
      <c r="E121" s="7" t="n">
        <f aca="false">IF(WEEKDAY($A121,2)&lt;6,Parametros!$B$21,Parametros!$B$22)</f>
        <v>6</v>
      </c>
      <c r="F121" s="7" t="n">
        <v>1</v>
      </c>
      <c r="G121" s="7" t="n">
        <f aca="false">E121-F121</f>
        <v>5</v>
      </c>
      <c r="H121" s="7" t="n">
        <v>2</v>
      </c>
      <c r="I121" s="7" t="n">
        <f aca="false">G121-H121</f>
        <v>3</v>
      </c>
      <c r="J121" s="6" t="s">
        <v>28</v>
      </c>
      <c r="K121" s="5" t="n">
        <f aca="false">INDEX(Parametros!$C$16:$C$18,MATCH($C121,Parametros!$A$16:$A$18,0))</f>
        <v>95</v>
      </c>
      <c r="L121" s="5" t="n">
        <f aca="false">I121*K121</f>
        <v>285</v>
      </c>
      <c r="M121" s="5" t="n">
        <v>268</v>
      </c>
      <c r="N121" s="5" t="n">
        <v>261</v>
      </c>
      <c r="O121" s="5" t="n">
        <f aca="false">M121-N121</f>
        <v>7</v>
      </c>
      <c r="P121" s="8" t="n">
        <f aca="false">IFERROR(I121/G121,0)</f>
        <v>0.6</v>
      </c>
      <c r="Q121" s="8" t="n">
        <f aca="false">IFERROR(M121/L121,0)</f>
        <v>0.940350877192983</v>
      </c>
      <c r="R121" s="8" t="n">
        <f aca="false">IFERROR(N121/M121,0)</f>
        <v>0.973880597014925</v>
      </c>
      <c r="S121" s="8" t="n">
        <f aca="false">P121*Q121*R121</f>
        <v>0.549473684210526</v>
      </c>
    </row>
    <row r="122" customFormat="false" ht="15" hidden="false" customHeight="false" outlineLevel="0" collapsed="false">
      <c r="A122" s="4" t="n">
        <v>46069</v>
      </c>
      <c r="B122" s="5" t="n">
        <f aca="false">MONTH($A122)</f>
        <v>2</v>
      </c>
      <c r="C122" s="5" t="n">
        <v>3</v>
      </c>
      <c r="D122" s="6" t="str">
        <f aca="false">INDEX(Parametros!$B$16:$B$18,MATCH($C122,Parametros!$A$16:$A$18,0))</f>
        <v>E3 - Sellado y etiquetado</v>
      </c>
      <c r="E122" s="7" t="n">
        <f aca="false">IF(WEEKDAY($A122,2)&lt;6,Parametros!$B$21,Parametros!$B$22)</f>
        <v>6</v>
      </c>
      <c r="F122" s="7" t="n">
        <v>0.25</v>
      </c>
      <c r="G122" s="7" t="n">
        <f aca="false">E122-F122</f>
        <v>5.75</v>
      </c>
      <c r="H122" s="7" t="n">
        <v>1.75</v>
      </c>
      <c r="I122" s="7" t="n">
        <f aca="false">G122-H122</f>
        <v>4</v>
      </c>
      <c r="J122" s="6" t="s">
        <v>25</v>
      </c>
      <c r="K122" s="5" t="n">
        <f aca="false">INDEX(Parametros!$C$16:$C$18,MATCH($C122,Parametros!$A$16:$A$18,0))</f>
        <v>95</v>
      </c>
      <c r="L122" s="5" t="n">
        <f aca="false">I122*K122</f>
        <v>380</v>
      </c>
      <c r="M122" s="5" t="n">
        <v>261</v>
      </c>
      <c r="N122" s="5" t="n">
        <v>258</v>
      </c>
      <c r="O122" s="5" t="n">
        <f aca="false">M122-N122</f>
        <v>3</v>
      </c>
      <c r="P122" s="8" t="n">
        <f aca="false">IFERROR(I122/G122,0)</f>
        <v>0.695652173913044</v>
      </c>
      <c r="Q122" s="8" t="n">
        <f aca="false">IFERROR(M122/L122,0)</f>
        <v>0.686842105263158</v>
      </c>
      <c r="R122" s="8" t="n">
        <f aca="false">IFERROR(N122/M122,0)</f>
        <v>0.988505747126437</v>
      </c>
      <c r="S122" s="8" t="n">
        <f aca="false">P122*Q122*R122</f>
        <v>0.472311212814645</v>
      </c>
    </row>
    <row r="123" customFormat="false" ht="15" hidden="false" customHeight="false" outlineLevel="0" collapsed="false">
      <c r="A123" s="4" t="n">
        <v>46070</v>
      </c>
      <c r="B123" s="5" t="n">
        <f aca="false">MONTH($A123)</f>
        <v>2</v>
      </c>
      <c r="C123" s="5" t="n">
        <v>1</v>
      </c>
      <c r="D123" s="6" t="str">
        <f aca="false">INDEX(Parametros!$B$16:$B$18,MATCH($C123,Parametros!$A$16:$A$18,0))</f>
        <v>E1 - Lavado y sanitizado de bidones</v>
      </c>
      <c r="E123" s="7" t="n">
        <f aca="false">IF(WEEKDAY($A123,2)&lt;6,Parametros!$B$21,Parametros!$B$22)</f>
        <v>6</v>
      </c>
      <c r="F123" s="7" t="n">
        <v>0.5</v>
      </c>
      <c r="G123" s="7" t="n">
        <f aca="false">E123-F123</f>
        <v>5.5</v>
      </c>
      <c r="H123" s="7" t="n">
        <v>0.75</v>
      </c>
      <c r="I123" s="7" t="n">
        <f aca="false">G123-H123</f>
        <v>4.75</v>
      </c>
      <c r="J123" s="6" t="s">
        <v>22</v>
      </c>
      <c r="K123" s="5" t="n">
        <f aca="false">INDEX(Parametros!$C$16:$C$18,MATCH($C123,Parametros!$A$16:$A$18,0))</f>
        <v>100</v>
      </c>
      <c r="L123" s="5" t="n">
        <f aca="false">I123*K123</f>
        <v>475</v>
      </c>
      <c r="M123" s="5" t="n">
        <v>328</v>
      </c>
      <c r="N123" s="5" t="n">
        <v>327</v>
      </c>
      <c r="O123" s="5" t="n">
        <f aca="false">M123-N123</f>
        <v>1</v>
      </c>
      <c r="P123" s="8" t="n">
        <f aca="false">IFERROR(I123/G123,0)</f>
        <v>0.863636363636364</v>
      </c>
      <c r="Q123" s="8" t="n">
        <f aca="false">IFERROR(M123/L123,0)</f>
        <v>0.690526315789474</v>
      </c>
      <c r="R123" s="8" t="n">
        <f aca="false">IFERROR(N123/M123,0)</f>
        <v>0.996951219512195</v>
      </c>
      <c r="S123" s="8" t="n">
        <f aca="false">P123*Q123*R123</f>
        <v>0.594545454545455</v>
      </c>
    </row>
    <row r="124" customFormat="false" ht="15" hidden="false" customHeight="false" outlineLevel="0" collapsed="false">
      <c r="A124" s="4" t="n">
        <v>46070</v>
      </c>
      <c r="B124" s="5" t="n">
        <f aca="false">MONTH($A124)</f>
        <v>2</v>
      </c>
      <c r="C124" s="5" t="n">
        <v>2</v>
      </c>
      <c r="D124" s="6" t="str">
        <f aca="false">INDEX(Parametros!$B$16:$B$18,MATCH($C124,Parametros!$A$16:$A$18,0))</f>
        <v>E2 - Llenado y tapado</v>
      </c>
      <c r="E124" s="7" t="n">
        <f aca="false">IF(WEEKDAY($A124,2)&lt;6,Parametros!$B$21,Parametros!$B$22)</f>
        <v>6</v>
      </c>
      <c r="F124" s="7" t="n">
        <v>0.75</v>
      </c>
      <c r="G124" s="7" t="n">
        <f aca="false">E124-F124</f>
        <v>5.25</v>
      </c>
      <c r="H124" s="7" t="n">
        <v>1</v>
      </c>
      <c r="I124" s="7" t="n">
        <f aca="false">G124-H124</f>
        <v>4.25</v>
      </c>
      <c r="J124" s="6" t="s">
        <v>30</v>
      </c>
      <c r="K124" s="5" t="n">
        <f aca="false">INDEX(Parametros!$C$16:$C$18,MATCH($C124,Parametros!$A$16:$A$18,0))</f>
        <v>95</v>
      </c>
      <c r="L124" s="5" t="n">
        <f aca="false">I124*K124</f>
        <v>403.75</v>
      </c>
      <c r="M124" s="5" t="n">
        <v>327</v>
      </c>
      <c r="N124" s="5" t="n">
        <v>321</v>
      </c>
      <c r="O124" s="5" t="n">
        <f aca="false">M124-N124</f>
        <v>6</v>
      </c>
      <c r="P124" s="8" t="n">
        <f aca="false">IFERROR(I124/G124,0)</f>
        <v>0.80952380952381</v>
      </c>
      <c r="Q124" s="8" t="n">
        <f aca="false">IFERROR(M124/L124,0)</f>
        <v>0.809907120743034</v>
      </c>
      <c r="R124" s="8" t="n">
        <f aca="false">IFERROR(N124/M124,0)</f>
        <v>0.981651376146789</v>
      </c>
      <c r="S124" s="8" t="n">
        <f aca="false">P124*Q124*R124</f>
        <v>0.643609022556391</v>
      </c>
    </row>
    <row r="125" customFormat="false" ht="15" hidden="false" customHeight="false" outlineLevel="0" collapsed="false">
      <c r="A125" s="4" t="n">
        <v>46070</v>
      </c>
      <c r="B125" s="5" t="n">
        <f aca="false">MONTH($A125)</f>
        <v>2</v>
      </c>
      <c r="C125" s="5" t="n">
        <v>3</v>
      </c>
      <c r="D125" s="6" t="str">
        <f aca="false">INDEX(Parametros!$B$16:$B$18,MATCH($C125,Parametros!$A$16:$A$18,0))</f>
        <v>E3 - Sellado y etiquetado</v>
      </c>
      <c r="E125" s="7" t="n">
        <f aca="false">IF(WEEKDAY($A125,2)&lt;6,Parametros!$B$21,Parametros!$B$22)</f>
        <v>6</v>
      </c>
      <c r="F125" s="7" t="n">
        <v>0.25</v>
      </c>
      <c r="G125" s="7" t="n">
        <f aca="false">E125-F125</f>
        <v>5.75</v>
      </c>
      <c r="H125" s="7" t="n">
        <v>0.5</v>
      </c>
      <c r="I125" s="7" t="n">
        <f aca="false">G125-H125</f>
        <v>5.25</v>
      </c>
      <c r="J125" s="6" t="s">
        <v>23</v>
      </c>
      <c r="K125" s="5" t="n">
        <f aca="false">INDEX(Parametros!$C$16:$C$18,MATCH($C125,Parametros!$A$16:$A$18,0))</f>
        <v>95</v>
      </c>
      <c r="L125" s="5" t="n">
        <f aca="false">I125*K125</f>
        <v>498.75</v>
      </c>
      <c r="M125" s="5" t="n">
        <v>321</v>
      </c>
      <c r="N125" s="5" t="n">
        <v>318</v>
      </c>
      <c r="O125" s="5" t="n">
        <f aca="false">M125-N125</f>
        <v>3</v>
      </c>
      <c r="P125" s="8" t="n">
        <f aca="false">IFERROR(I125/G125,0)</f>
        <v>0.91304347826087</v>
      </c>
      <c r="Q125" s="8" t="n">
        <f aca="false">IFERROR(M125/L125,0)</f>
        <v>0.643609022556391</v>
      </c>
      <c r="R125" s="8" t="n">
        <f aca="false">IFERROR(N125/M125,0)</f>
        <v>0.990654205607477</v>
      </c>
      <c r="S125" s="8" t="n">
        <f aca="false">P125*Q125*R125</f>
        <v>0.582151029748284</v>
      </c>
    </row>
    <row r="126" customFormat="false" ht="15" hidden="false" customHeight="false" outlineLevel="0" collapsed="false">
      <c r="A126" s="4" t="n">
        <v>46071</v>
      </c>
      <c r="B126" s="5" t="n">
        <f aca="false">MONTH($A126)</f>
        <v>2</v>
      </c>
      <c r="C126" s="5" t="n">
        <v>1</v>
      </c>
      <c r="D126" s="6" t="str">
        <f aca="false">INDEX(Parametros!$B$16:$B$18,MATCH($C126,Parametros!$A$16:$A$18,0))</f>
        <v>E1 - Lavado y sanitizado de bidones</v>
      </c>
      <c r="E126" s="7" t="n">
        <f aca="false">IF(WEEKDAY($A126,2)&lt;6,Parametros!$B$21,Parametros!$B$22)</f>
        <v>6</v>
      </c>
      <c r="F126" s="7" t="n">
        <v>0.5</v>
      </c>
      <c r="G126" s="7" t="n">
        <f aca="false">E126-F126</f>
        <v>5.5</v>
      </c>
      <c r="H126" s="7" t="n">
        <v>0.25</v>
      </c>
      <c r="I126" s="7" t="n">
        <f aca="false">G126-H126</f>
        <v>5.25</v>
      </c>
      <c r="J126" s="6" t="s">
        <v>30</v>
      </c>
      <c r="K126" s="5" t="n">
        <f aca="false">INDEX(Parametros!$C$16:$C$18,MATCH($C126,Parametros!$A$16:$A$18,0))</f>
        <v>100</v>
      </c>
      <c r="L126" s="5" t="n">
        <f aca="false">I126*K126</f>
        <v>525</v>
      </c>
      <c r="M126" s="5" t="n">
        <v>389</v>
      </c>
      <c r="N126" s="5" t="n">
        <v>385</v>
      </c>
      <c r="O126" s="5" t="n">
        <f aca="false">M126-N126</f>
        <v>4</v>
      </c>
      <c r="P126" s="8" t="n">
        <f aca="false">IFERROR(I126/G126,0)</f>
        <v>0.954545454545455</v>
      </c>
      <c r="Q126" s="8" t="n">
        <f aca="false">IFERROR(M126/L126,0)</f>
        <v>0.740952380952381</v>
      </c>
      <c r="R126" s="8" t="n">
        <f aca="false">IFERROR(N126/M126,0)</f>
        <v>0.989717223650386</v>
      </c>
      <c r="S126" s="8" t="n">
        <f aca="false">P126*Q126*R126</f>
        <v>0.7</v>
      </c>
    </row>
    <row r="127" customFormat="false" ht="15" hidden="false" customHeight="false" outlineLevel="0" collapsed="false">
      <c r="A127" s="4" t="n">
        <v>46071</v>
      </c>
      <c r="B127" s="5" t="n">
        <f aca="false">MONTH($A127)</f>
        <v>2</v>
      </c>
      <c r="C127" s="5" t="n">
        <v>2</v>
      </c>
      <c r="D127" s="6" t="str">
        <f aca="false">INDEX(Parametros!$B$16:$B$18,MATCH($C127,Parametros!$A$16:$A$18,0))</f>
        <v>E2 - Llenado y tapado</v>
      </c>
      <c r="E127" s="7" t="n">
        <f aca="false">IF(WEEKDAY($A127,2)&lt;6,Parametros!$B$21,Parametros!$B$22)</f>
        <v>6</v>
      </c>
      <c r="F127" s="7" t="n">
        <v>0.75</v>
      </c>
      <c r="G127" s="7" t="n">
        <f aca="false">E127-F127</f>
        <v>5.25</v>
      </c>
      <c r="H127" s="7" t="n">
        <v>0.5</v>
      </c>
      <c r="I127" s="7" t="n">
        <f aca="false">G127-H127</f>
        <v>4.75</v>
      </c>
      <c r="J127" s="6" t="s">
        <v>23</v>
      </c>
      <c r="K127" s="5" t="n">
        <f aca="false">INDEX(Parametros!$C$16:$C$18,MATCH($C127,Parametros!$A$16:$A$18,0))</f>
        <v>95</v>
      </c>
      <c r="L127" s="5" t="n">
        <f aca="false">I127*K127</f>
        <v>451.25</v>
      </c>
      <c r="M127" s="5" t="n">
        <v>385</v>
      </c>
      <c r="N127" s="5" t="n">
        <v>379</v>
      </c>
      <c r="O127" s="5" t="n">
        <f aca="false">M127-N127</f>
        <v>6</v>
      </c>
      <c r="P127" s="8" t="n">
        <f aca="false">IFERROR(I127/G127,0)</f>
        <v>0.904761904761905</v>
      </c>
      <c r="Q127" s="8" t="n">
        <f aca="false">IFERROR(M127/L127,0)</f>
        <v>0.853185595567867</v>
      </c>
      <c r="R127" s="8" t="n">
        <f aca="false">IFERROR(N127/M127,0)</f>
        <v>0.984415584415584</v>
      </c>
      <c r="S127" s="8" t="n">
        <f aca="false">P127*Q127*R127</f>
        <v>0.759899749373434</v>
      </c>
    </row>
    <row r="128" customFormat="false" ht="15" hidden="false" customHeight="false" outlineLevel="0" collapsed="false">
      <c r="A128" s="4" t="n">
        <v>46071</v>
      </c>
      <c r="B128" s="5" t="n">
        <f aca="false">MONTH($A128)</f>
        <v>2</v>
      </c>
      <c r="C128" s="5" t="n">
        <v>3</v>
      </c>
      <c r="D128" s="6" t="str">
        <f aca="false">INDEX(Parametros!$B$16:$B$18,MATCH($C128,Parametros!$A$16:$A$18,0))</f>
        <v>E3 - Sellado y etiquetado</v>
      </c>
      <c r="E128" s="7" t="n">
        <f aca="false">IF(WEEKDAY($A128,2)&lt;6,Parametros!$B$21,Parametros!$B$22)</f>
        <v>6</v>
      </c>
      <c r="F128" s="7" t="n">
        <v>0.25</v>
      </c>
      <c r="G128" s="7" t="n">
        <f aca="false">E128-F128</f>
        <v>5.75</v>
      </c>
      <c r="H128" s="7" t="n">
        <v>0.25</v>
      </c>
      <c r="I128" s="7" t="n">
        <f aca="false">G128-H128</f>
        <v>5.5</v>
      </c>
      <c r="J128" s="6" t="s">
        <v>26</v>
      </c>
      <c r="K128" s="5" t="n">
        <f aca="false">INDEX(Parametros!$C$16:$C$18,MATCH($C128,Parametros!$A$16:$A$18,0))</f>
        <v>95</v>
      </c>
      <c r="L128" s="5" t="n">
        <f aca="false">I128*K128</f>
        <v>522.5</v>
      </c>
      <c r="M128" s="5" t="n">
        <v>379</v>
      </c>
      <c r="N128" s="5" t="n">
        <v>376</v>
      </c>
      <c r="O128" s="5" t="n">
        <f aca="false">M128-N128</f>
        <v>3</v>
      </c>
      <c r="P128" s="8" t="n">
        <f aca="false">IFERROR(I128/G128,0)</f>
        <v>0.956521739130435</v>
      </c>
      <c r="Q128" s="8" t="n">
        <f aca="false">IFERROR(M128/L128,0)</f>
        <v>0.725358851674641</v>
      </c>
      <c r="R128" s="8" t="n">
        <f aca="false">IFERROR(N128/M128,0)</f>
        <v>0.992084432717678</v>
      </c>
      <c r="S128" s="8" t="n">
        <f aca="false">P128*Q128*R128</f>
        <v>0.688329519450801</v>
      </c>
    </row>
    <row r="129" customFormat="false" ht="15" hidden="false" customHeight="false" outlineLevel="0" collapsed="false">
      <c r="A129" s="4" t="n">
        <v>46072</v>
      </c>
      <c r="B129" s="5" t="n">
        <f aca="false">MONTH($A129)</f>
        <v>2</v>
      </c>
      <c r="C129" s="5" t="n">
        <v>1</v>
      </c>
      <c r="D129" s="6" t="str">
        <f aca="false">INDEX(Parametros!$B$16:$B$18,MATCH($C129,Parametros!$A$16:$A$18,0))</f>
        <v>E1 - Lavado y sanitizado de bidones</v>
      </c>
      <c r="E129" s="7" t="n">
        <f aca="false">IF(WEEKDAY($A129,2)&lt;6,Parametros!$B$21,Parametros!$B$22)</f>
        <v>6</v>
      </c>
      <c r="F129" s="7" t="n">
        <v>0.5</v>
      </c>
      <c r="G129" s="7" t="n">
        <f aca="false">E129-F129</f>
        <v>5.5</v>
      </c>
      <c r="H129" s="7" t="n">
        <v>0.5</v>
      </c>
      <c r="I129" s="7" t="n">
        <f aca="false">G129-H129</f>
        <v>5</v>
      </c>
      <c r="J129" s="6" t="s">
        <v>24</v>
      </c>
      <c r="K129" s="5" t="n">
        <f aca="false">INDEX(Parametros!$C$16:$C$18,MATCH($C129,Parametros!$A$16:$A$18,0))</f>
        <v>100</v>
      </c>
      <c r="L129" s="5" t="n">
        <f aca="false">I129*K129</f>
        <v>500</v>
      </c>
      <c r="M129" s="5" t="n">
        <v>355</v>
      </c>
      <c r="N129" s="5" t="n">
        <v>351</v>
      </c>
      <c r="O129" s="5" t="n">
        <f aca="false">M129-N129</f>
        <v>4</v>
      </c>
      <c r="P129" s="8" t="n">
        <f aca="false">IFERROR(I129/G129,0)</f>
        <v>0.909090909090909</v>
      </c>
      <c r="Q129" s="8" t="n">
        <f aca="false">IFERROR(M129/L129,0)</f>
        <v>0.71</v>
      </c>
      <c r="R129" s="8" t="n">
        <f aca="false">IFERROR(N129/M129,0)</f>
        <v>0.988732394366197</v>
      </c>
      <c r="S129" s="8" t="n">
        <f aca="false">P129*Q129*R129</f>
        <v>0.638181818181818</v>
      </c>
    </row>
    <row r="130" customFormat="false" ht="15" hidden="false" customHeight="false" outlineLevel="0" collapsed="false">
      <c r="A130" s="4" t="n">
        <v>46072</v>
      </c>
      <c r="B130" s="5" t="n">
        <f aca="false">MONTH($A130)</f>
        <v>2</v>
      </c>
      <c r="C130" s="5" t="n">
        <v>2</v>
      </c>
      <c r="D130" s="6" t="str">
        <f aca="false">INDEX(Parametros!$B$16:$B$18,MATCH($C130,Parametros!$A$16:$A$18,0))</f>
        <v>E2 - Llenado y tapado</v>
      </c>
      <c r="E130" s="7" t="n">
        <f aca="false">IF(WEEKDAY($A130,2)&lt;6,Parametros!$B$21,Parametros!$B$22)</f>
        <v>6</v>
      </c>
      <c r="F130" s="7" t="n">
        <v>0.75</v>
      </c>
      <c r="G130" s="7" t="n">
        <f aca="false">E130-F130</f>
        <v>5.25</v>
      </c>
      <c r="H130" s="7" t="n">
        <v>0.75</v>
      </c>
      <c r="I130" s="7" t="n">
        <f aca="false">G130-H130</f>
        <v>4.5</v>
      </c>
      <c r="J130" s="6" t="s">
        <v>28</v>
      </c>
      <c r="K130" s="5" t="n">
        <f aca="false">INDEX(Parametros!$C$16:$C$18,MATCH($C130,Parametros!$A$16:$A$18,0))</f>
        <v>95</v>
      </c>
      <c r="L130" s="5" t="n">
        <f aca="false">I130*K130</f>
        <v>427.5</v>
      </c>
      <c r="M130" s="5" t="n">
        <v>351</v>
      </c>
      <c r="N130" s="5" t="n">
        <v>345</v>
      </c>
      <c r="O130" s="5" t="n">
        <f aca="false">M130-N130</f>
        <v>6</v>
      </c>
      <c r="P130" s="8" t="n">
        <f aca="false">IFERROR(I130/G130,0)</f>
        <v>0.857142857142857</v>
      </c>
      <c r="Q130" s="8" t="n">
        <f aca="false">IFERROR(M130/L130,0)</f>
        <v>0.821052631578947</v>
      </c>
      <c r="R130" s="8" t="n">
        <f aca="false">IFERROR(N130/M130,0)</f>
        <v>0.982905982905983</v>
      </c>
      <c r="S130" s="8" t="n">
        <f aca="false">P130*Q130*R130</f>
        <v>0.691729323308271</v>
      </c>
    </row>
    <row r="131" customFormat="false" ht="15" hidden="false" customHeight="false" outlineLevel="0" collapsed="false">
      <c r="A131" s="4" t="n">
        <v>46072</v>
      </c>
      <c r="B131" s="5" t="n">
        <f aca="false">MONTH($A131)</f>
        <v>2</v>
      </c>
      <c r="C131" s="5" t="n">
        <v>3</v>
      </c>
      <c r="D131" s="6" t="str">
        <f aca="false">INDEX(Parametros!$B$16:$B$18,MATCH($C131,Parametros!$A$16:$A$18,0))</f>
        <v>E3 - Sellado y etiquetado</v>
      </c>
      <c r="E131" s="7" t="n">
        <f aca="false">IF(WEEKDAY($A131,2)&lt;6,Parametros!$B$21,Parametros!$B$22)</f>
        <v>6</v>
      </c>
      <c r="F131" s="7" t="n">
        <v>0.25</v>
      </c>
      <c r="G131" s="7" t="n">
        <f aca="false">E131-F131</f>
        <v>5.75</v>
      </c>
      <c r="H131" s="7" t="n">
        <v>0</v>
      </c>
      <c r="I131" s="7" t="n">
        <f aca="false">G131-H131</f>
        <v>5.75</v>
      </c>
      <c r="J131" s="6" t="s">
        <v>27</v>
      </c>
      <c r="K131" s="5" t="n">
        <f aca="false">INDEX(Parametros!$C$16:$C$18,MATCH($C131,Parametros!$A$16:$A$18,0))</f>
        <v>95</v>
      </c>
      <c r="L131" s="5" t="n">
        <f aca="false">I131*K131</f>
        <v>546.25</v>
      </c>
      <c r="M131" s="5" t="n">
        <v>345</v>
      </c>
      <c r="N131" s="5" t="n">
        <v>342</v>
      </c>
      <c r="O131" s="5" t="n">
        <f aca="false">M131-N131</f>
        <v>3</v>
      </c>
      <c r="P131" s="8" t="n">
        <f aca="false">IFERROR(I131/G131,0)</f>
        <v>1</v>
      </c>
      <c r="Q131" s="8" t="n">
        <f aca="false">IFERROR(M131/L131,0)</f>
        <v>0.631578947368421</v>
      </c>
      <c r="R131" s="8" t="n">
        <f aca="false">IFERROR(N131/M131,0)</f>
        <v>0.991304347826087</v>
      </c>
      <c r="S131" s="8" t="n">
        <f aca="false">P131*Q131*R131</f>
        <v>0.626086956521739</v>
      </c>
    </row>
    <row r="132" customFormat="false" ht="15" hidden="false" customHeight="false" outlineLevel="0" collapsed="false">
      <c r="A132" s="4" t="n">
        <v>46073</v>
      </c>
      <c r="B132" s="5" t="n">
        <f aca="false">MONTH($A132)</f>
        <v>2</v>
      </c>
      <c r="C132" s="5" t="n">
        <v>1</v>
      </c>
      <c r="D132" s="6" t="str">
        <f aca="false">INDEX(Parametros!$B$16:$B$18,MATCH($C132,Parametros!$A$16:$A$18,0))</f>
        <v>E1 - Lavado y sanitizado de bidones</v>
      </c>
      <c r="E132" s="7" t="n">
        <f aca="false">IF(WEEKDAY($A132,2)&lt;6,Parametros!$B$21,Parametros!$B$22)</f>
        <v>6</v>
      </c>
      <c r="F132" s="7" t="n">
        <v>0.5</v>
      </c>
      <c r="G132" s="7" t="n">
        <f aca="false">E132-F132</f>
        <v>5.5</v>
      </c>
      <c r="H132" s="7" t="n">
        <v>0</v>
      </c>
      <c r="I132" s="7" t="n">
        <f aca="false">G132-H132</f>
        <v>5.5</v>
      </c>
      <c r="J132" s="6" t="s">
        <v>27</v>
      </c>
      <c r="K132" s="5" t="n">
        <f aca="false">INDEX(Parametros!$C$16:$C$18,MATCH($C132,Parametros!$A$16:$A$18,0))</f>
        <v>100</v>
      </c>
      <c r="L132" s="5" t="n">
        <f aca="false">I132*K132</f>
        <v>550</v>
      </c>
      <c r="M132" s="5" t="n">
        <v>346</v>
      </c>
      <c r="N132" s="5" t="n">
        <v>345</v>
      </c>
      <c r="O132" s="5" t="n">
        <f aca="false">M132-N132</f>
        <v>1</v>
      </c>
      <c r="P132" s="8" t="n">
        <f aca="false">IFERROR(I132/G132,0)</f>
        <v>1</v>
      </c>
      <c r="Q132" s="8" t="n">
        <f aca="false">IFERROR(M132/L132,0)</f>
        <v>0.629090909090909</v>
      </c>
      <c r="R132" s="8" t="n">
        <f aca="false">IFERROR(N132/M132,0)</f>
        <v>0.997109826589595</v>
      </c>
      <c r="S132" s="8" t="n">
        <f aca="false">P132*Q132*R132</f>
        <v>0.627272727272727</v>
      </c>
    </row>
    <row r="133" customFormat="false" ht="15" hidden="false" customHeight="false" outlineLevel="0" collapsed="false">
      <c r="A133" s="4" t="n">
        <v>46073</v>
      </c>
      <c r="B133" s="5" t="n">
        <f aca="false">MONTH($A133)</f>
        <v>2</v>
      </c>
      <c r="C133" s="5" t="n">
        <v>2</v>
      </c>
      <c r="D133" s="6" t="str">
        <f aca="false">INDEX(Parametros!$B$16:$B$18,MATCH($C133,Parametros!$A$16:$A$18,0))</f>
        <v>E2 - Llenado y tapado</v>
      </c>
      <c r="E133" s="7" t="n">
        <f aca="false">IF(WEEKDAY($A133,2)&lt;6,Parametros!$B$21,Parametros!$B$22)</f>
        <v>6</v>
      </c>
      <c r="F133" s="7" t="n">
        <v>1</v>
      </c>
      <c r="G133" s="7" t="n">
        <f aca="false">E133-F133</f>
        <v>5</v>
      </c>
      <c r="H133" s="7" t="n">
        <v>0.75</v>
      </c>
      <c r="I133" s="7" t="n">
        <f aca="false">G133-H133</f>
        <v>4.25</v>
      </c>
      <c r="J133" s="6" t="s">
        <v>28</v>
      </c>
      <c r="K133" s="5" t="n">
        <f aca="false">INDEX(Parametros!$C$16:$C$18,MATCH($C133,Parametros!$A$16:$A$18,0))</f>
        <v>95</v>
      </c>
      <c r="L133" s="5" t="n">
        <f aca="false">I133*K133</f>
        <v>403.75</v>
      </c>
      <c r="M133" s="5" t="n">
        <v>345</v>
      </c>
      <c r="N133" s="5" t="n">
        <v>339</v>
      </c>
      <c r="O133" s="5" t="n">
        <f aca="false">M133-N133</f>
        <v>6</v>
      </c>
      <c r="P133" s="8" t="n">
        <f aca="false">IFERROR(I133/G133,0)</f>
        <v>0.85</v>
      </c>
      <c r="Q133" s="8" t="n">
        <f aca="false">IFERROR(M133/L133,0)</f>
        <v>0.854489164086687</v>
      </c>
      <c r="R133" s="8" t="n">
        <f aca="false">IFERROR(N133/M133,0)</f>
        <v>0.982608695652174</v>
      </c>
      <c r="S133" s="8" t="n">
        <f aca="false">P133*Q133*R133</f>
        <v>0.713684210526316</v>
      </c>
    </row>
    <row r="134" customFormat="false" ht="15" hidden="false" customHeight="false" outlineLevel="0" collapsed="false">
      <c r="A134" s="4" t="n">
        <v>46073</v>
      </c>
      <c r="B134" s="5" t="n">
        <f aca="false">MONTH($A134)</f>
        <v>2</v>
      </c>
      <c r="C134" s="5" t="n">
        <v>3</v>
      </c>
      <c r="D134" s="6" t="str">
        <f aca="false">INDEX(Parametros!$B$16:$B$18,MATCH($C134,Parametros!$A$16:$A$18,0))</f>
        <v>E3 - Sellado y etiquetado</v>
      </c>
      <c r="E134" s="7" t="n">
        <f aca="false">IF(WEEKDAY($A134,2)&lt;6,Parametros!$B$21,Parametros!$B$22)</f>
        <v>6</v>
      </c>
      <c r="F134" s="7" t="n">
        <v>0.25</v>
      </c>
      <c r="G134" s="7" t="n">
        <f aca="false">E134-F134</f>
        <v>5.75</v>
      </c>
      <c r="H134" s="7" t="n">
        <v>0.5</v>
      </c>
      <c r="I134" s="7" t="n">
        <f aca="false">G134-H134</f>
        <v>5.25</v>
      </c>
      <c r="J134" s="6" t="s">
        <v>30</v>
      </c>
      <c r="K134" s="5" t="n">
        <f aca="false">INDEX(Parametros!$C$16:$C$18,MATCH($C134,Parametros!$A$16:$A$18,0))</f>
        <v>95</v>
      </c>
      <c r="L134" s="5" t="n">
        <f aca="false">I134*K134</f>
        <v>498.75</v>
      </c>
      <c r="M134" s="5" t="n">
        <v>339</v>
      </c>
      <c r="N134" s="5" t="n">
        <v>335</v>
      </c>
      <c r="O134" s="5" t="n">
        <f aca="false">M134-N134</f>
        <v>4</v>
      </c>
      <c r="P134" s="8" t="n">
        <f aca="false">IFERROR(I134/G134,0)</f>
        <v>0.91304347826087</v>
      </c>
      <c r="Q134" s="8" t="n">
        <f aca="false">IFERROR(M134/L134,0)</f>
        <v>0.679699248120301</v>
      </c>
      <c r="R134" s="8" t="n">
        <f aca="false">IFERROR(N134/M134,0)</f>
        <v>0.988200589970501</v>
      </c>
      <c r="S134" s="8" t="n">
        <f aca="false">P134*Q134*R134</f>
        <v>0.613272311212815</v>
      </c>
    </row>
    <row r="135" customFormat="false" ht="15" hidden="false" customHeight="false" outlineLevel="0" collapsed="false">
      <c r="A135" s="4" t="n">
        <v>46074</v>
      </c>
      <c r="B135" s="5" t="n">
        <f aca="false">MONTH($A135)</f>
        <v>2</v>
      </c>
      <c r="C135" s="5" t="n">
        <v>1</v>
      </c>
      <c r="D135" s="6" t="str">
        <f aca="false">INDEX(Parametros!$B$16:$B$18,MATCH($C135,Parametros!$A$16:$A$18,0))</f>
        <v>E1 - Lavado y sanitizado de bidones</v>
      </c>
      <c r="E135" s="7" t="n">
        <f aca="false">IF(WEEKDAY($A135,2)&lt;6,Parametros!$B$21,Parametros!$B$22)</f>
        <v>4</v>
      </c>
      <c r="F135" s="7" t="n">
        <v>0.75</v>
      </c>
      <c r="G135" s="7" t="n">
        <f aca="false">E135-F135</f>
        <v>3.25</v>
      </c>
      <c r="H135" s="7" t="n">
        <v>0</v>
      </c>
      <c r="I135" s="7" t="n">
        <f aca="false">G135-H135</f>
        <v>3.25</v>
      </c>
      <c r="J135" s="6" t="s">
        <v>27</v>
      </c>
      <c r="K135" s="5" t="n">
        <f aca="false">INDEX(Parametros!$C$16:$C$18,MATCH($C135,Parametros!$A$16:$A$18,0))</f>
        <v>100</v>
      </c>
      <c r="L135" s="5" t="n">
        <f aca="false">I135*K135</f>
        <v>325</v>
      </c>
      <c r="M135" s="5" t="n">
        <v>203</v>
      </c>
      <c r="N135" s="5" t="n">
        <v>201</v>
      </c>
      <c r="O135" s="5" t="n">
        <f aca="false">M135-N135</f>
        <v>2</v>
      </c>
      <c r="P135" s="8" t="n">
        <f aca="false">IFERROR(I135/G135,0)</f>
        <v>1</v>
      </c>
      <c r="Q135" s="8" t="n">
        <f aca="false">IFERROR(M135/L135,0)</f>
        <v>0.624615384615385</v>
      </c>
      <c r="R135" s="8" t="n">
        <f aca="false">IFERROR(N135/M135,0)</f>
        <v>0.990147783251232</v>
      </c>
      <c r="S135" s="8" t="n">
        <f aca="false">P135*Q135*R135</f>
        <v>0.618461538461538</v>
      </c>
    </row>
    <row r="136" customFormat="false" ht="15" hidden="false" customHeight="false" outlineLevel="0" collapsed="false">
      <c r="A136" s="4" t="n">
        <v>46074</v>
      </c>
      <c r="B136" s="5" t="n">
        <f aca="false">MONTH($A136)</f>
        <v>2</v>
      </c>
      <c r="C136" s="5" t="n">
        <v>2</v>
      </c>
      <c r="D136" s="6" t="str">
        <f aca="false">INDEX(Parametros!$B$16:$B$18,MATCH($C136,Parametros!$A$16:$A$18,0))</f>
        <v>E2 - Llenado y tapado</v>
      </c>
      <c r="E136" s="7" t="n">
        <f aca="false">IF(WEEKDAY($A136,2)&lt;6,Parametros!$B$21,Parametros!$B$22)</f>
        <v>4</v>
      </c>
      <c r="F136" s="7" t="n">
        <v>1</v>
      </c>
      <c r="G136" s="7" t="n">
        <f aca="false">E136-F136</f>
        <v>3</v>
      </c>
      <c r="H136" s="7" t="n">
        <v>0.75</v>
      </c>
      <c r="I136" s="7" t="n">
        <f aca="false">G136-H136</f>
        <v>2.25</v>
      </c>
      <c r="J136" s="6" t="s">
        <v>28</v>
      </c>
      <c r="K136" s="5" t="n">
        <f aca="false">INDEX(Parametros!$C$16:$C$18,MATCH($C136,Parametros!$A$16:$A$18,0))</f>
        <v>95</v>
      </c>
      <c r="L136" s="5" t="n">
        <f aca="false">I136*K136</f>
        <v>213.75</v>
      </c>
      <c r="M136" s="5" t="n">
        <v>201</v>
      </c>
      <c r="N136" s="5" t="n">
        <v>197</v>
      </c>
      <c r="O136" s="5" t="n">
        <f aca="false">M136-N136</f>
        <v>4</v>
      </c>
      <c r="P136" s="8" t="n">
        <f aca="false">IFERROR(I136/G136,0)</f>
        <v>0.75</v>
      </c>
      <c r="Q136" s="8" t="n">
        <f aca="false">IFERROR(M136/L136,0)</f>
        <v>0.940350877192983</v>
      </c>
      <c r="R136" s="8" t="n">
        <f aca="false">IFERROR(N136/M136,0)</f>
        <v>0.980099502487562</v>
      </c>
      <c r="S136" s="8" t="n">
        <f aca="false">P136*Q136*R136</f>
        <v>0.691228070175439</v>
      </c>
    </row>
    <row r="137" customFormat="false" ht="15" hidden="false" customHeight="false" outlineLevel="0" collapsed="false">
      <c r="A137" s="4" t="n">
        <v>46074</v>
      </c>
      <c r="B137" s="5" t="n">
        <f aca="false">MONTH($A137)</f>
        <v>2</v>
      </c>
      <c r="C137" s="5" t="n">
        <v>3</v>
      </c>
      <c r="D137" s="6" t="str">
        <f aca="false">INDEX(Parametros!$B$16:$B$18,MATCH($C137,Parametros!$A$16:$A$18,0))</f>
        <v>E3 - Sellado y etiquetado</v>
      </c>
      <c r="E137" s="7" t="n">
        <f aca="false">IF(WEEKDAY($A137,2)&lt;6,Parametros!$B$21,Parametros!$B$22)</f>
        <v>4</v>
      </c>
      <c r="F137" s="7" t="n">
        <v>0.5</v>
      </c>
      <c r="G137" s="7" t="n">
        <f aca="false">E137-F137</f>
        <v>3.5</v>
      </c>
      <c r="H137" s="7" t="n">
        <v>0</v>
      </c>
      <c r="I137" s="7" t="n">
        <f aca="false">G137-H137</f>
        <v>3.5</v>
      </c>
      <c r="J137" s="6" t="s">
        <v>27</v>
      </c>
      <c r="K137" s="5" t="n">
        <f aca="false">INDEX(Parametros!$C$16:$C$18,MATCH($C137,Parametros!$A$16:$A$18,0))</f>
        <v>95</v>
      </c>
      <c r="L137" s="5" t="n">
        <f aca="false">I137*K137</f>
        <v>332.5</v>
      </c>
      <c r="M137" s="5" t="n">
        <v>197</v>
      </c>
      <c r="N137" s="5" t="n">
        <v>195</v>
      </c>
      <c r="O137" s="5" t="n">
        <f aca="false">M137-N137</f>
        <v>2</v>
      </c>
      <c r="P137" s="8" t="n">
        <f aca="false">IFERROR(I137/G137,0)</f>
        <v>1</v>
      </c>
      <c r="Q137" s="8" t="n">
        <f aca="false">IFERROR(M137/L137,0)</f>
        <v>0.592481203007519</v>
      </c>
      <c r="R137" s="8" t="n">
        <f aca="false">IFERROR(N137/M137,0)</f>
        <v>0.989847715736041</v>
      </c>
      <c r="S137" s="8" t="n">
        <f aca="false">P137*Q137*R137</f>
        <v>0.586466165413534</v>
      </c>
    </row>
    <row r="138" customFormat="false" ht="15" hidden="false" customHeight="false" outlineLevel="0" collapsed="false">
      <c r="A138" s="4" t="n">
        <v>46076</v>
      </c>
      <c r="B138" s="5" t="n">
        <f aca="false">MONTH($A138)</f>
        <v>2</v>
      </c>
      <c r="C138" s="5" t="n">
        <v>1</v>
      </c>
      <c r="D138" s="6" t="str">
        <f aca="false">INDEX(Parametros!$B$16:$B$18,MATCH($C138,Parametros!$A$16:$A$18,0))</f>
        <v>E1 - Lavado y sanitizado de bidones</v>
      </c>
      <c r="E138" s="7" t="n">
        <f aca="false">IF(WEEKDAY($A138,2)&lt;6,Parametros!$B$21,Parametros!$B$22)</f>
        <v>6</v>
      </c>
      <c r="F138" s="7" t="n">
        <v>0.5</v>
      </c>
      <c r="G138" s="7" t="n">
        <f aca="false">E138-F138</f>
        <v>5.5</v>
      </c>
      <c r="H138" s="7" t="n">
        <v>2.5</v>
      </c>
      <c r="I138" s="7" t="n">
        <f aca="false">G138-H138</f>
        <v>3</v>
      </c>
      <c r="J138" s="6" t="s">
        <v>22</v>
      </c>
      <c r="K138" s="5" t="n">
        <f aca="false">INDEX(Parametros!$C$16:$C$18,MATCH($C138,Parametros!$A$16:$A$18,0))</f>
        <v>100</v>
      </c>
      <c r="L138" s="5" t="n">
        <f aca="false">I138*K138</f>
        <v>300</v>
      </c>
      <c r="M138" s="5" t="n">
        <v>224</v>
      </c>
      <c r="N138" s="5" t="n">
        <v>221</v>
      </c>
      <c r="O138" s="5" t="n">
        <f aca="false">M138-N138</f>
        <v>3</v>
      </c>
      <c r="P138" s="8" t="n">
        <f aca="false">IFERROR(I138/G138,0)</f>
        <v>0.545454545454545</v>
      </c>
      <c r="Q138" s="8" t="n">
        <f aca="false">IFERROR(M138/L138,0)</f>
        <v>0.746666666666667</v>
      </c>
      <c r="R138" s="8" t="n">
        <f aca="false">IFERROR(N138/M138,0)</f>
        <v>0.986607142857143</v>
      </c>
      <c r="S138" s="8" t="n">
        <f aca="false">P138*Q138*R138</f>
        <v>0.401818181818182</v>
      </c>
    </row>
    <row r="139" customFormat="false" ht="15" hidden="false" customHeight="false" outlineLevel="0" collapsed="false">
      <c r="A139" s="4" t="n">
        <v>46076</v>
      </c>
      <c r="B139" s="5" t="n">
        <f aca="false">MONTH($A139)</f>
        <v>2</v>
      </c>
      <c r="C139" s="5" t="n">
        <v>2</v>
      </c>
      <c r="D139" s="6" t="str">
        <f aca="false">INDEX(Parametros!$B$16:$B$18,MATCH($C139,Parametros!$A$16:$A$18,0))</f>
        <v>E2 - Llenado y tapado</v>
      </c>
      <c r="E139" s="7" t="n">
        <f aca="false">IF(WEEKDAY($A139,2)&lt;6,Parametros!$B$21,Parametros!$B$22)</f>
        <v>6</v>
      </c>
      <c r="F139" s="7" t="n">
        <v>0.75</v>
      </c>
      <c r="G139" s="7" t="n">
        <f aca="false">E139-F139</f>
        <v>5.25</v>
      </c>
      <c r="H139" s="7" t="n">
        <v>2</v>
      </c>
      <c r="I139" s="7" t="n">
        <f aca="false">G139-H139</f>
        <v>3.25</v>
      </c>
      <c r="J139" s="6" t="s">
        <v>29</v>
      </c>
      <c r="K139" s="5" t="n">
        <f aca="false">INDEX(Parametros!$C$16:$C$18,MATCH($C139,Parametros!$A$16:$A$18,0))</f>
        <v>95</v>
      </c>
      <c r="L139" s="5" t="n">
        <f aca="false">I139*K139</f>
        <v>308.75</v>
      </c>
      <c r="M139" s="5" t="n">
        <v>221</v>
      </c>
      <c r="N139" s="5" t="n">
        <v>219</v>
      </c>
      <c r="O139" s="5" t="n">
        <f aca="false">M139-N139</f>
        <v>2</v>
      </c>
      <c r="P139" s="8" t="n">
        <f aca="false">IFERROR(I139/G139,0)</f>
        <v>0.619047619047619</v>
      </c>
      <c r="Q139" s="8" t="n">
        <f aca="false">IFERROR(M139/L139,0)</f>
        <v>0.715789473684211</v>
      </c>
      <c r="R139" s="8" t="n">
        <f aca="false">IFERROR(N139/M139,0)</f>
        <v>0.990950226244344</v>
      </c>
      <c r="S139" s="8" t="n">
        <f aca="false">P139*Q139*R139</f>
        <v>0.439097744360902</v>
      </c>
    </row>
    <row r="140" customFormat="false" ht="15" hidden="false" customHeight="false" outlineLevel="0" collapsed="false">
      <c r="A140" s="4" t="n">
        <v>46076</v>
      </c>
      <c r="B140" s="5" t="n">
        <f aca="false">MONTH($A140)</f>
        <v>2</v>
      </c>
      <c r="C140" s="5" t="n">
        <v>3</v>
      </c>
      <c r="D140" s="6" t="str">
        <f aca="false">INDEX(Parametros!$B$16:$B$18,MATCH($C140,Parametros!$A$16:$A$18,0))</f>
        <v>E3 - Sellado y etiquetado</v>
      </c>
      <c r="E140" s="7" t="n">
        <f aca="false">IF(WEEKDAY($A140,2)&lt;6,Parametros!$B$21,Parametros!$B$22)</f>
        <v>6</v>
      </c>
      <c r="F140" s="7" t="n">
        <v>0.25</v>
      </c>
      <c r="G140" s="7" t="n">
        <f aca="false">E140-F140</f>
        <v>5.75</v>
      </c>
      <c r="H140" s="7" t="n">
        <v>2</v>
      </c>
      <c r="I140" s="7" t="n">
        <f aca="false">G140-H140</f>
        <v>3.75</v>
      </c>
      <c r="J140" s="6" t="s">
        <v>25</v>
      </c>
      <c r="K140" s="5" t="n">
        <f aca="false">INDEX(Parametros!$C$16:$C$18,MATCH($C140,Parametros!$A$16:$A$18,0))</f>
        <v>95</v>
      </c>
      <c r="L140" s="5" t="n">
        <f aca="false">I140*K140</f>
        <v>356.25</v>
      </c>
      <c r="M140" s="5" t="n">
        <v>219</v>
      </c>
      <c r="N140" s="5" t="n">
        <v>217</v>
      </c>
      <c r="O140" s="5" t="n">
        <f aca="false">M140-N140</f>
        <v>2</v>
      </c>
      <c r="P140" s="8" t="n">
        <f aca="false">IFERROR(I140/G140,0)</f>
        <v>0.652173913043478</v>
      </c>
      <c r="Q140" s="8" t="n">
        <f aca="false">IFERROR(M140/L140,0)</f>
        <v>0.614736842105263</v>
      </c>
      <c r="R140" s="8" t="n">
        <f aca="false">IFERROR(N140/M140,0)</f>
        <v>0.990867579908676</v>
      </c>
      <c r="S140" s="8" t="n">
        <f aca="false">P140*Q140*R140</f>
        <v>0.397254004576659</v>
      </c>
    </row>
    <row r="141" customFormat="false" ht="15" hidden="false" customHeight="false" outlineLevel="0" collapsed="false">
      <c r="A141" s="4" t="n">
        <v>46077</v>
      </c>
      <c r="B141" s="5" t="n">
        <f aca="false">MONTH($A141)</f>
        <v>2</v>
      </c>
      <c r="C141" s="5" t="n">
        <v>1</v>
      </c>
      <c r="D141" s="6" t="str">
        <f aca="false">INDEX(Parametros!$B$16:$B$18,MATCH($C141,Parametros!$A$16:$A$18,0))</f>
        <v>E1 - Lavado y sanitizado de bidones</v>
      </c>
      <c r="E141" s="7" t="n">
        <f aca="false">IF(WEEKDAY($A141,2)&lt;6,Parametros!$B$21,Parametros!$B$22)</f>
        <v>6</v>
      </c>
      <c r="F141" s="7" t="n">
        <v>0.5</v>
      </c>
      <c r="G141" s="7" t="n">
        <f aca="false">E141-F141</f>
        <v>5.5</v>
      </c>
      <c r="H141" s="7" t="n">
        <v>0.5</v>
      </c>
      <c r="I141" s="7" t="n">
        <f aca="false">G141-H141</f>
        <v>5</v>
      </c>
      <c r="J141" s="6" t="s">
        <v>30</v>
      </c>
      <c r="K141" s="5" t="n">
        <f aca="false">INDEX(Parametros!$C$16:$C$18,MATCH($C141,Parametros!$A$16:$A$18,0))</f>
        <v>100</v>
      </c>
      <c r="L141" s="5" t="n">
        <f aca="false">I141*K141</f>
        <v>500</v>
      </c>
      <c r="M141" s="5" t="n">
        <v>364</v>
      </c>
      <c r="N141" s="5" t="n">
        <v>361</v>
      </c>
      <c r="O141" s="5" t="n">
        <f aca="false">M141-N141</f>
        <v>3</v>
      </c>
      <c r="P141" s="8" t="n">
        <f aca="false">IFERROR(I141/G141,0)</f>
        <v>0.909090909090909</v>
      </c>
      <c r="Q141" s="8" t="n">
        <f aca="false">IFERROR(M141/L141,0)</f>
        <v>0.728</v>
      </c>
      <c r="R141" s="8" t="n">
        <f aca="false">IFERROR(N141/M141,0)</f>
        <v>0.991758241758242</v>
      </c>
      <c r="S141" s="8" t="n">
        <f aca="false">P141*Q141*R141</f>
        <v>0.656363636363636</v>
      </c>
    </row>
    <row r="142" customFormat="false" ht="15" hidden="false" customHeight="false" outlineLevel="0" collapsed="false">
      <c r="A142" s="4" t="n">
        <v>46077</v>
      </c>
      <c r="B142" s="5" t="n">
        <f aca="false">MONTH($A142)</f>
        <v>2</v>
      </c>
      <c r="C142" s="5" t="n">
        <v>2</v>
      </c>
      <c r="D142" s="6" t="str">
        <f aca="false">INDEX(Parametros!$B$16:$B$18,MATCH($C142,Parametros!$A$16:$A$18,0))</f>
        <v>E2 - Llenado y tapado</v>
      </c>
      <c r="E142" s="7" t="n">
        <f aca="false">IF(WEEKDAY($A142,2)&lt;6,Parametros!$B$21,Parametros!$B$22)</f>
        <v>6</v>
      </c>
      <c r="F142" s="7" t="n">
        <v>0.75</v>
      </c>
      <c r="G142" s="7" t="n">
        <f aca="false">E142-F142</f>
        <v>5.25</v>
      </c>
      <c r="H142" s="7" t="n">
        <v>0.25</v>
      </c>
      <c r="I142" s="7" t="n">
        <f aca="false">G142-H142</f>
        <v>5</v>
      </c>
      <c r="J142" s="6" t="s">
        <v>28</v>
      </c>
      <c r="K142" s="5" t="n">
        <f aca="false">INDEX(Parametros!$C$16:$C$18,MATCH($C142,Parametros!$A$16:$A$18,0))</f>
        <v>95</v>
      </c>
      <c r="L142" s="5" t="n">
        <f aca="false">I142*K142</f>
        <v>475</v>
      </c>
      <c r="M142" s="5" t="n">
        <v>361</v>
      </c>
      <c r="N142" s="5" t="n">
        <v>355</v>
      </c>
      <c r="O142" s="5" t="n">
        <f aca="false">M142-N142</f>
        <v>6</v>
      </c>
      <c r="P142" s="8" t="n">
        <f aca="false">IFERROR(I142/G142,0)</f>
        <v>0.952380952380952</v>
      </c>
      <c r="Q142" s="8" t="n">
        <f aca="false">IFERROR(M142/L142,0)</f>
        <v>0.76</v>
      </c>
      <c r="R142" s="8" t="n">
        <f aca="false">IFERROR(N142/M142,0)</f>
        <v>0.983379501385042</v>
      </c>
      <c r="S142" s="8" t="n">
        <f aca="false">P142*Q142*R142</f>
        <v>0.711779448621554</v>
      </c>
    </row>
    <row r="143" customFormat="false" ht="15" hidden="false" customHeight="false" outlineLevel="0" collapsed="false">
      <c r="A143" s="4" t="n">
        <v>46077</v>
      </c>
      <c r="B143" s="5" t="n">
        <f aca="false">MONTH($A143)</f>
        <v>2</v>
      </c>
      <c r="C143" s="5" t="n">
        <v>3</v>
      </c>
      <c r="D143" s="6" t="str">
        <f aca="false">INDEX(Parametros!$B$16:$B$18,MATCH($C143,Parametros!$A$16:$A$18,0))</f>
        <v>E3 - Sellado y etiquetado</v>
      </c>
      <c r="E143" s="7" t="n">
        <f aca="false">IF(WEEKDAY($A143,2)&lt;6,Parametros!$B$21,Parametros!$B$22)</f>
        <v>6</v>
      </c>
      <c r="F143" s="7" t="n">
        <v>0.25</v>
      </c>
      <c r="G143" s="7" t="n">
        <f aca="false">E143-F143</f>
        <v>5.75</v>
      </c>
      <c r="H143" s="7" t="n">
        <v>0</v>
      </c>
      <c r="I143" s="7" t="n">
        <f aca="false">G143-H143</f>
        <v>5.75</v>
      </c>
      <c r="J143" s="6" t="s">
        <v>27</v>
      </c>
      <c r="K143" s="5" t="n">
        <f aca="false">INDEX(Parametros!$C$16:$C$18,MATCH($C143,Parametros!$A$16:$A$18,0))</f>
        <v>95</v>
      </c>
      <c r="L143" s="5" t="n">
        <f aca="false">I143*K143</f>
        <v>546.25</v>
      </c>
      <c r="M143" s="5" t="n">
        <v>355</v>
      </c>
      <c r="N143" s="5" t="n">
        <v>352</v>
      </c>
      <c r="O143" s="5" t="n">
        <f aca="false">M143-N143</f>
        <v>3</v>
      </c>
      <c r="P143" s="8" t="n">
        <f aca="false">IFERROR(I143/G143,0)</f>
        <v>1</v>
      </c>
      <c r="Q143" s="8" t="n">
        <f aca="false">IFERROR(M143/L143,0)</f>
        <v>0.649885583524028</v>
      </c>
      <c r="R143" s="8" t="n">
        <f aca="false">IFERROR(N143/M143,0)</f>
        <v>0.991549295774648</v>
      </c>
      <c r="S143" s="8" t="n">
        <f aca="false">P143*Q143*R143</f>
        <v>0.644393592677346</v>
      </c>
    </row>
    <row r="144" customFormat="false" ht="15" hidden="false" customHeight="false" outlineLevel="0" collapsed="false">
      <c r="A144" s="4" t="n">
        <v>46078</v>
      </c>
      <c r="B144" s="5" t="n">
        <f aca="false">MONTH($A144)</f>
        <v>2</v>
      </c>
      <c r="C144" s="5" t="n">
        <v>1</v>
      </c>
      <c r="D144" s="6" t="str">
        <f aca="false">INDEX(Parametros!$B$16:$B$18,MATCH($C144,Parametros!$A$16:$A$18,0))</f>
        <v>E1 - Lavado y sanitizado de bidones</v>
      </c>
      <c r="E144" s="7" t="n">
        <f aca="false">IF(WEEKDAY($A144,2)&lt;6,Parametros!$B$21,Parametros!$B$22)</f>
        <v>6</v>
      </c>
      <c r="F144" s="7" t="n">
        <v>0.5</v>
      </c>
      <c r="G144" s="7" t="n">
        <f aca="false">E144-F144</f>
        <v>5.5</v>
      </c>
      <c r="H144" s="7" t="n">
        <v>0</v>
      </c>
      <c r="I144" s="7" t="n">
        <f aca="false">G144-H144</f>
        <v>5.5</v>
      </c>
      <c r="J144" s="6" t="s">
        <v>27</v>
      </c>
      <c r="K144" s="5" t="n">
        <f aca="false">INDEX(Parametros!$C$16:$C$18,MATCH($C144,Parametros!$A$16:$A$18,0))</f>
        <v>100</v>
      </c>
      <c r="L144" s="5" t="n">
        <f aca="false">I144*K144</f>
        <v>550</v>
      </c>
      <c r="M144" s="5" t="n">
        <v>359</v>
      </c>
      <c r="N144" s="5" t="n">
        <v>356</v>
      </c>
      <c r="O144" s="5" t="n">
        <f aca="false">M144-N144</f>
        <v>3</v>
      </c>
      <c r="P144" s="8" t="n">
        <f aca="false">IFERROR(I144/G144,0)</f>
        <v>1</v>
      </c>
      <c r="Q144" s="8" t="n">
        <f aca="false">IFERROR(M144/L144,0)</f>
        <v>0.652727272727273</v>
      </c>
      <c r="R144" s="8" t="n">
        <f aca="false">IFERROR(N144/M144,0)</f>
        <v>0.991643454038997</v>
      </c>
      <c r="S144" s="8" t="n">
        <f aca="false">P144*Q144*R144</f>
        <v>0.647272727272727</v>
      </c>
    </row>
    <row r="145" customFormat="false" ht="15" hidden="false" customHeight="false" outlineLevel="0" collapsed="false">
      <c r="A145" s="4" t="n">
        <v>46078</v>
      </c>
      <c r="B145" s="5" t="n">
        <f aca="false">MONTH($A145)</f>
        <v>2</v>
      </c>
      <c r="C145" s="5" t="n">
        <v>2</v>
      </c>
      <c r="D145" s="6" t="str">
        <f aca="false">INDEX(Parametros!$B$16:$B$18,MATCH($C145,Parametros!$A$16:$A$18,0))</f>
        <v>E2 - Llenado y tapado</v>
      </c>
      <c r="E145" s="7" t="n">
        <f aca="false">IF(WEEKDAY($A145,2)&lt;6,Parametros!$B$21,Parametros!$B$22)</f>
        <v>6</v>
      </c>
      <c r="F145" s="7" t="n">
        <v>0.75</v>
      </c>
      <c r="G145" s="7" t="n">
        <f aca="false">E145-F145</f>
        <v>5.25</v>
      </c>
      <c r="H145" s="7" t="n">
        <v>0.5</v>
      </c>
      <c r="I145" s="7" t="n">
        <f aca="false">G145-H145</f>
        <v>4.75</v>
      </c>
      <c r="J145" s="6" t="s">
        <v>30</v>
      </c>
      <c r="K145" s="5" t="n">
        <f aca="false">INDEX(Parametros!$C$16:$C$18,MATCH($C145,Parametros!$A$16:$A$18,0))</f>
        <v>95</v>
      </c>
      <c r="L145" s="5" t="n">
        <f aca="false">I145*K145</f>
        <v>451.25</v>
      </c>
      <c r="M145" s="5" t="n">
        <v>356</v>
      </c>
      <c r="N145" s="5" t="n">
        <v>350</v>
      </c>
      <c r="O145" s="5" t="n">
        <f aca="false">M145-N145</f>
        <v>6</v>
      </c>
      <c r="P145" s="8" t="n">
        <f aca="false">IFERROR(I145/G145,0)</f>
        <v>0.904761904761905</v>
      </c>
      <c r="Q145" s="8" t="n">
        <f aca="false">IFERROR(M145/L145,0)</f>
        <v>0.788919667590028</v>
      </c>
      <c r="R145" s="8" t="n">
        <f aca="false">IFERROR(N145/M145,0)</f>
        <v>0.98314606741573</v>
      </c>
      <c r="S145" s="8" t="n">
        <f aca="false">P145*Q145*R145</f>
        <v>0.701754385964912</v>
      </c>
    </row>
    <row r="146" customFormat="false" ht="15" hidden="false" customHeight="false" outlineLevel="0" collapsed="false">
      <c r="A146" s="4" t="n">
        <v>46078</v>
      </c>
      <c r="B146" s="5" t="n">
        <f aca="false">MONTH($A146)</f>
        <v>2</v>
      </c>
      <c r="C146" s="5" t="n">
        <v>3</v>
      </c>
      <c r="D146" s="6" t="str">
        <f aca="false">INDEX(Parametros!$B$16:$B$18,MATCH($C146,Parametros!$A$16:$A$18,0))</f>
        <v>E3 - Sellado y etiquetado</v>
      </c>
      <c r="E146" s="7" t="n">
        <f aca="false">IF(WEEKDAY($A146,2)&lt;6,Parametros!$B$21,Parametros!$B$22)</f>
        <v>6</v>
      </c>
      <c r="F146" s="7" t="n">
        <v>0.25</v>
      </c>
      <c r="G146" s="7" t="n">
        <f aca="false">E146-F146</f>
        <v>5.75</v>
      </c>
      <c r="H146" s="7" t="n">
        <v>0</v>
      </c>
      <c r="I146" s="7" t="n">
        <f aca="false">G146-H146</f>
        <v>5.75</v>
      </c>
      <c r="J146" s="6" t="s">
        <v>27</v>
      </c>
      <c r="K146" s="5" t="n">
        <f aca="false">INDEX(Parametros!$C$16:$C$18,MATCH($C146,Parametros!$A$16:$A$18,0))</f>
        <v>95</v>
      </c>
      <c r="L146" s="5" t="n">
        <f aca="false">I146*K146</f>
        <v>546.25</v>
      </c>
      <c r="M146" s="5" t="n">
        <v>350</v>
      </c>
      <c r="N146" s="5" t="n">
        <v>346</v>
      </c>
      <c r="O146" s="5" t="n">
        <f aca="false">M146-N146</f>
        <v>4</v>
      </c>
      <c r="P146" s="8" t="n">
        <f aca="false">IFERROR(I146/G146,0)</f>
        <v>1</v>
      </c>
      <c r="Q146" s="8" t="n">
        <f aca="false">IFERROR(M146/L146,0)</f>
        <v>0.640732265446224</v>
      </c>
      <c r="R146" s="8" t="n">
        <f aca="false">IFERROR(N146/M146,0)</f>
        <v>0.988571428571429</v>
      </c>
      <c r="S146" s="8" t="n">
        <f aca="false">P146*Q146*R146</f>
        <v>0.633409610983982</v>
      </c>
    </row>
    <row r="147" customFormat="false" ht="15" hidden="false" customHeight="false" outlineLevel="0" collapsed="false">
      <c r="A147" s="4" t="n">
        <v>46079</v>
      </c>
      <c r="B147" s="5" t="n">
        <f aca="false">MONTH($A147)</f>
        <v>2</v>
      </c>
      <c r="C147" s="5" t="n">
        <v>1</v>
      </c>
      <c r="D147" s="6" t="str">
        <f aca="false">INDEX(Parametros!$B$16:$B$18,MATCH($C147,Parametros!$A$16:$A$18,0))</f>
        <v>E1 - Lavado y sanitizado de bidones</v>
      </c>
      <c r="E147" s="7" t="n">
        <f aca="false">IF(WEEKDAY($A147,2)&lt;6,Parametros!$B$21,Parametros!$B$22)</f>
        <v>6</v>
      </c>
      <c r="F147" s="7" t="n">
        <v>0.75</v>
      </c>
      <c r="G147" s="7" t="n">
        <f aca="false">E147-F147</f>
        <v>5.25</v>
      </c>
      <c r="H147" s="7" t="n">
        <v>5.25</v>
      </c>
      <c r="I147" s="7" t="n">
        <f aca="false">G147-H147</f>
        <v>0</v>
      </c>
      <c r="J147" s="6" t="s">
        <v>32</v>
      </c>
      <c r="K147" s="5" t="n">
        <f aca="false">INDEX(Parametros!$C$16:$C$18,MATCH($C147,Parametros!$A$16:$A$18,0))</f>
        <v>100</v>
      </c>
      <c r="L147" s="5" t="n">
        <f aca="false">I147*K147</f>
        <v>0</v>
      </c>
      <c r="M147" s="5" t="n">
        <v>0</v>
      </c>
      <c r="N147" s="5" t="n">
        <v>0</v>
      </c>
      <c r="O147" s="5" t="n">
        <f aca="false">M147-N147</f>
        <v>0</v>
      </c>
      <c r="P147" s="8" t="n">
        <f aca="false">IFERROR(I147/G147,0)</f>
        <v>0</v>
      </c>
      <c r="Q147" s="8" t="n">
        <f aca="false">IFERROR(M147/L147,0)</f>
        <v>0</v>
      </c>
      <c r="R147" s="8" t="n">
        <f aca="false">IFERROR(N147/M147,0)</f>
        <v>0</v>
      </c>
      <c r="S147" s="8" t="n">
        <f aca="false">P147*Q147*R147</f>
        <v>0</v>
      </c>
    </row>
    <row r="148" customFormat="false" ht="15" hidden="false" customHeight="false" outlineLevel="0" collapsed="false">
      <c r="A148" s="4" t="n">
        <v>46079</v>
      </c>
      <c r="B148" s="5" t="n">
        <f aca="false">MONTH($A148)</f>
        <v>2</v>
      </c>
      <c r="C148" s="5" t="n">
        <v>2</v>
      </c>
      <c r="D148" s="6" t="str">
        <f aca="false">INDEX(Parametros!$B$16:$B$18,MATCH($C148,Parametros!$A$16:$A$18,0))</f>
        <v>E2 - Llenado y tapado</v>
      </c>
      <c r="E148" s="7" t="n">
        <f aca="false">IF(WEEKDAY($A148,2)&lt;6,Parametros!$B$21,Parametros!$B$22)</f>
        <v>6</v>
      </c>
      <c r="F148" s="7" t="n">
        <v>1</v>
      </c>
      <c r="G148" s="7" t="n">
        <f aca="false">E148-F148</f>
        <v>5</v>
      </c>
      <c r="H148" s="7" t="n">
        <v>5</v>
      </c>
      <c r="I148" s="7" t="n">
        <f aca="false">G148-H148</f>
        <v>0</v>
      </c>
      <c r="J148" s="6" t="s">
        <v>32</v>
      </c>
      <c r="K148" s="5" t="n">
        <f aca="false">INDEX(Parametros!$C$16:$C$18,MATCH($C148,Parametros!$A$16:$A$18,0))</f>
        <v>95</v>
      </c>
      <c r="L148" s="5" t="n">
        <f aca="false">I148*K148</f>
        <v>0</v>
      </c>
      <c r="M148" s="5" t="n">
        <v>0</v>
      </c>
      <c r="N148" s="5" t="n">
        <v>0</v>
      </c>
      <c r="O148" s="5" t="n">
        <f aca="false">M148-N148</f>
        <v>0</v>
      </c>
      <c r="P148" s="8" t="n">
        <f aca="false">IFERROR(I148/G148,0)</f>
        <v>0</v>
      </c>
      <c r="Q148" s="8" t="n">
        <f aca="false">IFERROR(M148/L148,0)</f>
        <v>0</v>
      </c>
      <c r="R148" s="8" t="n">
        <f aca="false">IFERROR(N148/M148,0)</f>
        <v>0</v>
      </c>
      <c r="S148" s="8" t="n">
        <f aca="false">P148*Q148*R148</f>
        <v>0</v>
      </c>
    </row>
    <row r="149" customFormat="false" ht="15" hidden="false" customHeight="false" outlineLevel="0" collapsed="false">
      <c r="A149" s="4" t="n">
        <v>46079</v>
      </c>
      <c r="B149" s="5" t="n">
        <f aca="false">MONTH($A149)</f>
        <v>2</v>
      </c>
      <c r="C149" s="5" t="n">
        <v>3</v>
      </c>
      <c r="D149" s="6" t="str">
        <f aca="false">INDEX(Parametros!$B$16:$B$18,MATCH($C149,Parametros!$A$16:$A$18,0))</f>
        <v>E3 - Sellado y etiquetado</v>
      </c>
      <c r="E149" s="7" t="n">
        <f aca="false">IF(WEEKDAY($A149,2)&lt;6,Parametros!$B$21,Parametros!$B$22)</f>
        <v>6</v>
      </c>
      <c r="F149" s="7" t="n">
        <v>0.25</v>
      </c>
      <c r="G149" s="7" t="n">
        <f aca="false">E149-F149</f>
        <v>5.75</v>
      </c>
      <c r="H149" s="7" t="n">
        <v>5.75</v>
      </c>
      <c r="I149" s="7" t="n">
        <f aca="false">G149-H149</f>
        <v>0</v>
      </c>
      <c r="J149" s="6" t="s">
        <v>32</v>
      </c>
      <c r="K149" s="5" t="n">
        <f aca="false">INDEX(Parametros!$C$16:$C$18,MATCH($C149,Parametros!$A$16:$A$18,0))</f>
        <v>95</v>
      </c>
      <c r="L149" s="5" t="n">
        <f aca="false">I149*K149</f>
        <v>0</v>
      </c>
      <c r="M149" s="5" t="n">
        <v>0</v>
      </c>
      <c r="N149" s="5" t="n">
        <v>0</v>
      </c>
      <c r="O149" s="5" t="n">
        <f aca="false">M149-N149</f>
        <v>0</v>
      </c>
      <c r="P149" s="8" t="n">
        <f aca="false">IFERROR(I149/G149,0)</f>
        <v>0</v>
      </c>
      <c r="Q149" s="8" t="n">
        <f aca="false">IFERROR(M149/L149,0)</f>
        <v>0</v>
      </c>
      <c r="R149" s="8" t="n">
        <f aca="false">IFERROR(N149/M149,0)</f>
        <v>0</v>
      </c>
      <c r="S149" s="8" t="n">
        <f aca="false">P149*Q149*R149</f>
        <v>0</v>
      </c>
    </row>
    <row r="150" customFormat="false" ht="15" hidden="false" customHeight="false" outlineLevel="0" collapsed="false">
      <c r="A150" s="4" t="n">
        <v>46080</v>
      </c>
      <c r="B150" s="5" t="n">
        <f aca="false">MONTH($A150)</f>
        <v>2</v>
      </c>
      <c r="C150" s="5" t="n">
        <v>1</v>
      </c>
      <c r="D150" s="6" t="str">
        <f aca="false">INDEX(Parametros!$B$16:$B$18,MATCH($C150,Parametros!$A$16:$A$18,0))</f>
        <v>E1 - Lavado y sanitizado de bidones</v>
      </c>
      <c r="E150" s="7" t="n">
        <f aca="false">IF(WEEKDAY($A150,2)&lt;6,Parametros!$B$21,Parametros!$B$22)</f>
        <v>6</v>
      </c>
      <c r="F150" s="7" t="n">
        <v>0.5</v>
      </c>
      <c r="G150" s="7" t="n">
        <f aca="false">E150-F150</f>
        <v>5.5</v>
      </c>
      <c r="H150" s="7" t="n">
        <v>0.75</v>
      </c>
      <c r="I150" s="7" t="n">
        <f aca="false">G150-H150</f>
        <v>4.75</v>
      </c>
      <c r="J150" s="6" t="s">
        <v>22</v>
      </c>
      <c r="K150" s="5" t="n">
        <f aca="false">INDEX(Parametros!$C$16:$C$18,MATCH($C150,Parametros!$A$16:$A$18,0))</f>
        <v>100</v>
      </c>
      <c r="L150" s="5" t="n">
        <f aca="false">I150*K150</f>
        <v>475</v>
      </c>
      <c r="M150" s="5" t="n">
        <v>354</v>
      </c>
      <c r="N150" s="5" t="n">
        <v>351</v>
      </c>
      <c r="O150" s="5" t="n">
        <f aca="false">M150-N150</f>
        <v>3</v>
      </c>
      <c r="P150" s="8" t="n">
        <f aca="false">IFERROR(I150/G150,0)</f>
        <v>0.863636363636364</v>
      </c>
      <c r="Q150" s="8" t="n">
        <f aca="false">IFERROR(M150/L150,0)</f>
        <v>0.745263157894737</v>
      </c>
      <c r="R150" s="8" t="n">
        <f aca="false">IFERROR(N150/M150,0)</f>
        <v>0.991525423728814</v>
      </c>
      <c r="S150" s="8" t="n">
        <f aca="false">P150*Q150*R150</f>
        <v>0.638181818181818</v>
      </c>
    </row>
    <row r="151" customFormat="false" ht="15" hidden="false" customHeight="false" outlineLevel="0" collapsed="false">
      <c r="A151" s="4" t="n">
        <v>46080</v>
      </c>
      <c r="B151" s="5" t="n">
        <f aca="false">MONTH($A151)</f>
        <v>2</v>
      </c>
      <c r="C151" s="5" t="n">
        <v>2</v>
      </c>
      <c r="D151" s="6" t="str">
        <f aca="false">INDEX(Parametros!$B$16:$B$18,MATCH($C151,Parametros!$A$16:$A$18,0))</f>
        <v>E2 - Llenado y tapado</v>
      </c>
      <c r="E151" s="7" t="n">
        <f aca="false">IF(WEEKDAY($A151,2)&lt;6,Parametros!$B$21,Parametros!$B$22)</f>
        <v>6</v>
      </c>
      <c r="F151" s="7" t="n">
        <v>0.75</v>
      </c>
      <c r="G151" s="7" t="n">
        <f aca="false">E151-F151</f>
        <v>5.25</v>
      </c>
      <c r="H151" s="7" t="n">
        <v>0.75</v>
      </c>
      <c r="I151" s="7" t="n">
        <f aca="false">G151-H151</f>
        <v>4.5</v>
      </c>
      <c r="J151" s="6" t="s">
        <v>23</v>
      </c>
      <c r="K151" s="5" t="n">
        <f aca="false">INDEX(Parametros!$C$16:$C$18,MATCH($C151,Parametros!$A$16:$A$18,0))</f>
        <v>95</v>
      </c>
      <c r="L151" s="5" t="n">
        <f aca="false">I151*K151</f>
        <v>427.5</v>
      </c>
      <c r="M151" s="5" t="n">
        <v>351</v>
      </c>
      <c r="N151" s="5" t="n">
        <v>345</v>
      </c>
      <c r="O151" s="5" t="n">
        <f aca="false">M151-N151</f>
        <v>6</v>
      </c>
      <c r="P151" s="8" t="n">
        <f aca="false">IFERROR(I151/G151,0)</f>
        <v>0.857142857142857</v>
      </c>
      <c r="Q151" s="8" t="n">
        <f aca="false">IFERROR(M151/L151,0)</f>
        <v>0.821052631578947</v>
      </c>
      <c r="R151" s="8" t="n">
        <f aca="false">IFERROR(N151/M151,0)</f>
        <v>0.982905982905983</v>
      </c>
      <c r="S151" s="8" t="n">
        <f aca="false">P151*Q151*R151</f>
        <v>0.691729323308271</v>
      </c>
    </row>
    <row r="152" customFormat="false" ht="15" hidden="false" customHeight="false" outlineLevel="0" collapsed="false">
      <c r="A152" s="4" t="n">
        <v>46080</v>
      </c>
      <c r="B152" s="5" t="n">
        <f aca="false">MONTH($A152)</f>
        <v>2</v>
      </c>
      <c r="C152" s="5" t="n">
        <v>3</v>
      </c>
      <c r="D152" s="6" t="str">
        <f aca="false">INDEX(Parametros!$B$16:$B$18,MATCH($C152,Parametros!$A$16:$A$18,0))</f>
        <v>E3 - Sellado y etiquetado</v>
      </c>
      <c r="E152" s="7" t="n">
        <f aca="false">IF(WEEKDAY($A152,2)&lt;6,Parametros!$B$21,Parametros!$B$22)</f>
        <v>6</v>
      </c>
      <c r="F152" s="7" t="n">
        <v>0.25</v>
      </c>
      <c r="G152" s="7" t="n">
        <f aca="false">E152-F152</f>
        <v>5.75</v>
      </c>
      <c r="H152" s="7" t="n">
        <v>0</v>
      </c>
      <c r="I152" s="7" t="n">
        <f aca="false">G152-H152</f>
        <v>5.75</v>
      </c>
      <c r="J152" s="6" t="s">
        <v>27</v>
      </c>
      <c r="K152" s="5" t="n">
        <f aca="false">INDEX(Parametros!$C$16:$C$18,MATCH($C152,Parametros!$A$16:$A$18,0))</f>
        <v>95</v>
      </c>
      <c r="L152" s="5" t="n">
        <f aca="false">I152*K152</f>
        <v>546.25</v>
      </c>
      <c r="M152" s="5" t="n">
        <v>345</v>
      </c>
      <c r="N152" s="5" t="n">
        <v>340</v>
      </c>
      <c r="O152" s="5" t="n">
        <f aca="false">M152-N152</f>
        <v>5</v>
      </c>
      <c r="P152" s="8" t="n">
        <f aca="false">IFERROR(I152/G152,0)</f>
        <v>1</v>
      </c>
      <c r="Q152" s="8" t="n">
        <f aca="false">IFERROR(M152/L152,0)</f>
        <v>0.631578947368421</v>
      </c>
      <c r="R152" s="8" t="n">
        <f aca="false">IFERROR(N152/M152,0)</f>
        <v>0.985507246376812</v>
      </c>
      <c r="S152" s="8" t="n">
        <f aca="false">P152*Q152*R152</f>
        <v>0.622425629290618</v>
      </c>
    </row>
    <row r="153" customFormat="false" ht="15" hidden="false" customHeight="false" outlineLevel="0" collapsed="false">
      <c r="A153" s="4" t="n">
        <v>46081</v>
      </c>
      <c r="B153" s="5" t="n">
        <f aca="false">MONTH($A153)</f>
        <v>2</v>
      </c>
      <c r="C153" s="5" t="n">
        <v>1</v>
      </c>
      <c r="D153" s="6" t="str">
        <f aca="false">INDEX(Parametros!$B$16:$B$18,MATCH($C153,Parametros!$A$16:$A$18,0))</f>
        <v>E1 - Lavado y sanitizado de bidones</v>
      </c>
      <c r="E153" s="7" t="n">
        <f aca="false">IF(WEEKDAY($A153,2)&lt;6,Parametros!$B$21,Parametros!$B$22)</f>
        <v>4</v>
      </c>
      <c r="F153" s="7" t="n">
        <v>1</v>
      </c>
      <c r="G153" s="7" t="n">
        <f aca="false">E153-F153</f>
        <v>3</v>
      </c>
      <c r="H153" s="7" t="n">
        <v>0.5</v>
      </c>
      <c r="I153" s="7" t="n">
        <f aca="false">G153-H153</f>
        <v>2.5</v>
      </c>
      <c r="J153" s="6" t="s">
        <v>30</v>
      </c>
      <c r="K153" s="5" t="n">
        <f aca="false">INDEX(Parametros!$C$16:$C$18,MATCH($C153,Parametros!$A$16:$A$18,0))</f>
        <v>100</v>
      </c>
      <c r="L153" s="5" t="n">
        <f aca="false">I153*K153</f>
        <v>250</v>
      </c>
      <c r="M153" s="5" t="n">
        <v>202</v>
      </c>
      <c r="N153" s="5" t="n">
        <v>200</v>
      </c>
      <c r="O153" s="5" t="n">
        <f aca="false">M153-N153</f>
        <v>2</v>
      </c>
      <c r="P153" s="8" t="n">
        <f aca="false">IFERROR(I153/G153,0)</f>
        <v>0.833333333333333</v>
      </c>
      <c r="Q153" s="8" t="n">
        <f aca="false">IFERROR(M153/L153,0)</f>
        <v>0.808</v>
      </c>
      <c r="R153" s="8" t="n">
        <f aca="false">IFERROR(N153/M153,0)</f>
        <v>0.99009900990099</v>
      </c>
      <c r="S153" s="8" t="n">
        <f aca="false">P153*Q153*R153</f>
        <v>0.666666666666667</v>
      </c>
    </row>
    <row r="154" customFormat="false" ht="15" hidden="false" customHeight="false" outlineLevel="0" collapsed="false">
      <c r="A154" s="4" t="n">
        <v>46081</v>
      </c>
      <c r="B154" s="5" t="n">
        <f aca="false">MONTH($A154)</f>
        <v>2</v>
      </c>
      <c r="C154" s="5" t="n">
        <v>2</v>
      </c>
      <c r="D154" s="6" t="str">
        <f aca="false">INDEX(Parametros!$B$16:$B$18,MATCH($C154,Parametros!$A$16:$A$18,0))</f>
        <v>E2 - Llenado y tapado</v>
      </c>
      <c r="E154" s="7" t="n">
        <f aca="false">IF(WEEKDAY($A154,2)&lt;6,Parametros!$B$21,Parametros!$B$22)</f>
        <v>4</v>
      </c>
      <c r="F154" s="7" t="n">
        <v>1</v>
      </c>
      <c r="G154" s="7" t="n">
        <f aca="false">E154-F154</f>
        <v>3</v>
      </c>
      <c r="H154" s="7" t="n">
        <v>0</v>
      </c>
      <c r="I154" s="7" t="n">
        <f aca="false">G154-H154</f>
        <v>3</v>
      </c>
      <c r="J154" s="6" t="s">
        <v>27</v>
      </c>
      <c r="K154" s="5" t="n">
        <f aca="false">INDEX(Parametros!$C$16:$C$18,MATCH($C154,Parametros!$A$16:$A$18,0))</f>
        <v>95</v>
      </c>
      <c r="L154" s="5" t="n">
        <f aca="false">I154*K154</f>
        <v>285</v>
      </c>
      <c r="M154" s="5" t="n">
        <v>200</v>
      </c>
      <c r="N154" s="5" t="n">
        <v>195</v>
      </c>
      <c r="O154" s="5" t="n">
        <f aca="false">M154-N154</f>
        <v>5</v>
      </c>
      <c r="P154" s="8" t="n">
        <f aca="false">IFERROR(I154/G154,0)</f>
        <v>1</v>
      </c>
      <c r="Q154" s="8" t="n">
        <f aca="false">IFERROR(M154/L154,0)</f>
        <v>0.701754385964912</v>
      </c>
      <c r="R154" s="8" t="n">
        <f aca="false">IFERROR(N154/M154,0)</f>
        <v>0.975</v>
      </c>
      <c r="S154" s="8" t="n">
        <f aca="false">P154*Q154*R154</f>
        <v>0.684210526315789</v>
      </c>
    </row>
    <row r="155" customFormat="false" ht="15" hidden="false" customHeight="false" outlineLevel="0" collapsed="false">
      <c r="A155" s="4" t="n">
        <v>46081</v>
      </c>
      <c r="B155" s="5" t="n">
        <f aca="false">MONTH($A155)</f>
        <v>2</v>
      </c>
      <c r="C155" s="5" t="n">
        <v>3</v>
      </c>
      <c r="D155" s="6" t="str">
        <f aca="false">INDEX(Parametros!$B$16:$B$18,MATCH($C155,Parametros!$A$16:$A$18,0))</f>
        <v>E3 - Sellado y etiquetado</v>
      </c>
      <c r="E155" s="7" t="n">
        <f aca="false">IF(WEEKDAY($A155,2)&lt;6,Parametros!$B$21,Parametros!$B$22)</f>
        <v>4</v>
      </c>
      <c r="F155" s="7" t="n">
        <v>0.5</v>
      </c>
      <c r="G155" s="7" t="n">
        <f aca="false">E155-F155</f>
        <v>3.5</v>
      </c>
      <c r="H155" s="7" t="n">
        <v>0</v>
      </c>
      <c r="I155" s="7" t="n">
        <f aca="false">G155-H155</f>
        <v>3.5</v>
      </c>
      <c r="J155" s="6" t="s">
        <v>27</v>
      </c>
      <c r="K155" s="5" t="n">
        <f aca="false">INDEX(Parametros!$C$16:$C$18,MATCH($C155,Parametros!$A$16:$A$18,0))</f>
        <v>95</v>
      </c>
      <c r="L155" s="5" t="n">
        <f aca="false">I155*K155</f>
        <v>332.5</v>
      </c>
      <c r="M155" s="5" t="n">
        <v>195</v>
      </c>
      <c r="N155" s="5" t="n">
        <v>193</v>
      </c>
      <c r="O155" s="5" t="n">
        <f aca="false">M155-N155</f>
        <v>2</v>
      </c>
      <c r="P155" s="8" t="n">
        <f aca="false">IFERROR(I155/G155,0)</f>
        <v>1</v>
      </c>
      <c r="Q155" s="8" t="n">
        <f aca="false">IFERROR(M155/L155,0)</f>
        <v>0.586466165413534</v>
      </c>
      <c r="R155" s="8" t="n">
        <f aca="false">IFERROR(N155/M155,0)</f>
        <v>0.98974358974359</v>
      </c>
      <c r="S155" s="8" t="n">
        <f aca="false">P155*Q155*R155</f>
        <v>0.580451127819549</v>
      </c>
    </row>
    <row r="156" customFormat="false" ht="15" hidden="false" customHeight="false" outlineLevel="0" collapsed="false">
      <c r="A156" s="4" t="n">
        <v>46083</v>
      </c>
      <c r="B156" s="5" t="n">
        <f aca="false">MONTH($A156)</f>
        <v>3</v>
      </c>
      <c r="C156" s="5" t="n">
        <v>1</v>
      </c>
      <c r="D156" s="6" t="str">
        <f aca="false">INDEX(Parametros!$B$16:$B$18,MATCH($C156,Parametros!$A$16:$A$18,0))</f>
        <v>E1 - Lavado y sanitizado de bidones</v>
      </c>
      <c r="E156" s="7" t="n">
        <f aca="false">IF(WEEKDAY($A156,2)&lt;6,Parametros!$B$21,Parametros!$B$22)</f>
        <v>6</v>
      </c>
      <c r="F156" s="7" t="n">
        <v>0.5</v>
      </c>
      <c r="G156" s="7" t="n">
        <f aca="false">E156-F156</f>
        <v>5.5</v>
      </c>
      <c r="H156" s="7" t="n">
        <v>0</v>
      </c>
      <c r="I156" s="7" t="n">
        <f aca="false">G156-H156</f>
        <v>5.5</v>
      </c>
      <c r="J156" s="6" t="s">
        <v>27</v>
      </c>
      <c r="K156" s="5" t="n">
        <f aca="false">INDEX(Parametros!$C$16:$C$18,MATCH($C156,Parametros!$A$16:$A$18,0))</f>
        <v>100</v>
      </c>
      <c r="L156" s="5" t="n">
        <f aca="false">I156*K156</f>
        <v>550</v>
      </c>
      <c r="M156" s="5" t="n">
        <v>351</v>
      </c>
      <c r="N156" s="5" t="n">
        <v>347</v>
      </c>
      <c r="O156" s="5" t="n">
        <f aca="false">M156-N156</f>
        <v>4</v>
      </c>
      <c r="P156" s="8" t="n">
        <f aca="false">IFERROR(I156/G156,0)</f>
        <v>1</v>
      </c>
      <c r="Q156" s="8" t="n">
        <f aca="false">IFERROR(M156/L156,0)</f>
        <v>0.638181818181818</v>
      </c>
      <c r="R156" s="8" t="n">
        <f aca="false">IFERROR(N156/M156,0)</f>
        <v>0.988603988603989</v>
      </c>
      <c r="S156" s="8" t="n">
        <f aca="false">P156*Q156*R156</f>
        <v>0.630909090909091</v>
      </c>
    </row>
    <row r="157" customFormat="false" ht="15" hidden="false" customHeight="false" outlineLevel="0" collapsed="false">
      <c r="A157" s="4" t="n">
        <v>46083</v>
      </c>
      <c r="B157" s="5" t="n">
        <f aca="false">MONTH($A157)</f>
        <v>3</v>
      </c>
      <c r="C157" s="5" t="n">
        <v>2</v>
      </c>
      <c r="D157" s="6" t="str">
        <f aca="false">INDEX(Parametros!$B$16:$B$18,MATCH($C157,Parametros!$A$16:$A$18,0))</f>
        <v>E2 - Llenado y tapado</v>
      </c>
      <c r="E157" s="7" t="n">
        <f aca="false">IF(WEEKDAY($A157,2)&lt;6,Parametros!$B$21,Parametros!$B$22)</f>
        <v>6</v>
      </c>
      <c r="F157" s="7" t="n">
        <v>1</v>
      </c>
      <c r="G157" s="7" t="n">
        <f aca="false">E157-F157</f>
        <v>5</v>
      </c>
      <c r="H157" s="7" t="n">
        <v>0.5</v>
      </c>
      <c r="I157" s="7" t="n">
        <f aca="false">G157-H157</f>
        <v>4.5</v>
      </c>
      <c r="J157" s="6" t="s">
        <v>30</v>
      </c>
      <c r="K157" s="5" t="n">
        <f aca="false">INDEX(Parametros!$C$16:$C$18,MATCH($C157,Parametros!$A$16:$A$18,0))</f>
        <v>95</v>
      </c>
      <c r="L157" s="5" t="n">
        <f aca="false">I157*K157</f>
        <v>427.5</v>
      </c>
      <c r="M157" s="5" t="n">
        <v>347</v>
      </c>
      <c r="N157" s="5" t="n">
        <v>342</v>
      </c>
      <c r="O157" s="5" t="n">
        <f aca="false">M157-N157</f>
        <v>5</v>
      </c>
      <c r="P157" s="8" t="n">
        <f aca="false">IFERROR(I157/G157,0)</f>
        <v>0.9</v>
      </c>
      <c r="Q157" s="8" t="n">
        <f aca="false">IFERROR(M157/L157,0)</f>
        <v>0.811695906432749</v>
      </c>
      <c r="R157" s="8" t="n">
        <f aca="false">IFERROR(N157/M157,0)</f>
        <v>0.985590778097983</v>
      </c>
      <c r="S157" s="8" t="n">
        <f aca="false">P157*Q157*R157</f>
        <v>0.72</v>
      </c>
    </row>
    <row r="158" customFormat="false" ht="15" hidden="false" customHeight="false" outlineLevel="0" collapsed="false">
      <c r="A158" s="4" t="n">
        <v>46083</v>
      </c>
      <c r="B158" s="5" t="n">
        <f aca="false">MONTH($A158)</f>
        <v>3</v>
      </c>
      <c r="C158" s="5" t="n">
        <v>3</v>
      </c>
      <c r="D158" s="6" t="str">
        <f aca="false">INDEX(Parametros!$B$16:$B$18,MATCH($C158,Parametros!$A$16:$A$18,0))</f>
        <v>E3 - Sellado y etiquetado</v>
      </c>
      <c r="E158" s="7" t="n">
        <f aca="false">IF(WEEKDAY($A158,2)&lt;6,Parametros!$B$21,Parametros!$B$22)</f>
        <v>6</v>
      </c>
      <c r="F158" s="7" t="n">
        <v>0.25</v>
      </c>
      <c r="G158" s="7" t="n">
        <f aca="false">E158-F158</f>
        <v>5.75</v>
      </c>
      <c r="H158" s="7" t="n">
        <v>0.25</v>
      </c>
      <c r="I158" s="7" t="n">
        <f aca="false">G158-H158</f>
        <v>5.5</v>
      </c>
      <c r="J158" s="6" t="s">
        <v>23</v>
      </c>
      <c r="K158" s="5" t="n">
        <f aca="false">INDEX(Parametros!$C$16:$C$18,MATCH($C158,Parametros!$A$16:$A$18,0))</f>
        <v>95</v>
      </c>
      <c r="L158" s="5" t="n">
        <f aca="false">I158*K158</f>
        <v>522.5</v>
      </c>
      <c r="M158" s="5" t="n">
        <v>342</v>
      </c>
      <c r="N158" s="5" t="n">
        <v>338</v>
      </c>
      <c r="O158" s="5" t="n">
        <f aca="false">M158-N158</f>
        <v>4</v>
      </c>
      <c r="P158" s="8" t="n">
        <f aca="false">IFERROR(I158/G158,0)</f>
        <v>0.956521739130435</v>
      </c>
      <c r="Q158" s="8" t="n">
        <f aca="false">IFERROR(M158/L158,0)</f>
        <v>0.654545454545455</v>
      </c>
      <c r="R158" s="8" t="n">
        <f aca="false">IFERROR(N158/M158,0)</f>
        <v>0.988304093567252</v>
      </c>
      <c r="S158" s="8" t="n">
        <f aca="false">P158*Q158*R158</f>
        <v>0.618764302059497</v>
      </c>
    </row>
    <row r="159" customFormat="false" ht="15" hidden="false" customHeight="false" outlineLevel="0" collapsed="false">
      <c r="A159" s="4" t="n">
        <v>46084</v>
      </c>
      <c r="B159" s="5" t="n">
        <f aca="false">MONTH($A159)</f>
        <v>3</v>
      </c>
      <c r="C159" s="5" t="n">
        <v>1</v>
      </c>
      <c r="D159" s="6" t="str">
        <f aca="false">INDEX(Parametros!$B$16:$B$18,MATCH($C159,Parametros!$A$16:$A$18,0))</f>
        <v>E1 - Lavado y sanitizado de bidones</v>
      </c>
      <c r="E159" s="7" t="n">
        <f aca="false">IF(WEEKDAY($A159,2)&lt;6,Parametros!$B$21,Parametros!$B$22)</f>
        <v>6</v>
      </c>
      <c r="F159" s="7" t="n">
        <v>0.5</v>
      </c>
      <c r="G159" s="7" t="n">
        <f aca="false">E159-F159</f>
        <v>5.5</v>
      </c>
      <c r="H159" s="7" t="n">
        <v>0</v>
      </c>
      <c r="I159" s="7" t="n">
        <f aca="false">G159-H159</f>
        <v>5.5</v>
      </c>
      <c r="J159" s="6" t="s">
        <v>27</v>
      </c>
      <c r="K159" s="5" t="n">
        <f aca="false">INDEX(Parametros!$C$16:$C$18,MATCH($C159,Parametros!$A$16:$A$18,0))</f>
        <v>100</v>
      </c>
      <c r="L159" s="5" t="n">
        <f aca="false">I159*K159</f>
        <v>550</v>
      </c>
      <c r="M159" s="5" t="n">
        <v>340</v>
      </c>
      <c r="N159" s="5" t="n">
        <v>336</v>
      </c>
      <c r="O159" s="5" t="n">
        <f aca="false">M159-N159</f>
        <v>4</v>
      </c>
      <c r="P159" s="8" t="n">
        <f aca="false">IFERROR(I159/G159,0)</f>
        <v>1</v>
      </c>
      <c r="Q159" s="8" t="n">
        <f aca="false">IFERROR(M159/L159,0)</f>
        <v>0.618181818181818</v>
      </c>
      <c r="R159" s="8" t="n">
        <f aca="false">IFERROR(N159/M159,0)</f>
        <v>0.988235294117647</v>
      </c>
      <c r="S159" s="8" t="n">
        <f aca="false">P159*Q159*R159</f>
        <v>0.610909090909091</v>
      </c>
    </row>
    <row r="160" customFormat="false" ht="15" hidden="false" customHeight="false" outlineLevel="0" collapsed="false">
      <c r="A160" s="4" t="n">
        <v>46084</v>
      </c>
      <c r="B160" s="5" t="n">
        <f aca="false">MONTH($A160)</f>
        <v>3</v>
      </c>
      <c r="C160" s="5" t="n">
        <v>2</v>
      </c>
      <c r="D160" s="6" t="str">
        <f aca="false">INDEX(Parametros!$B$16:$B$18,MATCH($C160,Parametros!$A$16:$A$18,0))</f>
        <v>E2 - Llenado y tapado</v>
      </c>
      <c r="E160" s="7" t="n">
        <f aca="false">IF(WEEKDAY($A160,2)&lt;6,Parametros!$B$21,Parametros!$B$22)</f>
        <v>6</v>
      </c>
      <c r="F160" s="7" t="n">
        <v>1</v>
      </c>
      <c r="G160" s="7" t="n">
        <f aca="false">E160-F160</f>
        <v>5</v>
      </c>
      <c r="H160" s="7" t="n">
        <v>1</v>
      </c>
      <c r="I160" s="7" t="n">
        <f aca="false">G160-H160</f>
        <v>4</v>
      </c>
      <c r="J160" s="6" t="s">
        <v>23</v>
      </c>
      <c r="K160" s="5" t="n">
        <f aca="false">INDEX(Parametros!$C$16:$C$18,MATCH($C160,Parametros!$A$16:$A$18,0))</f>
        <v>95</v>
      </c>
      <c r="L160" s="5" t="n">
        <f aca="false">I160*K160</f>
        <v>380</v>
      </c>
      <c r="M160" s="5" t="n">
        <v>336</v>
      </c>
      <c r="N160" s="5" t="n">
        <v>329</v>
      </c>
      <c r="O160" s="5" t="n">
        <f aca="false">M160-N160</f>
        <v>7</v>
      </c>
      <c r="P160" s="8" t="n">
        <f aca="false">IFERROR(I160/G160,0)</f>
        <v>0.8</v>
      </c>
      <c r="Q160" s="8" t="n">
        <f aca="false">IFERROR(M160/L160,0)</f>
        <v>0.884210526315789</v>
      </c>
      <c r="R160" s="8" t="n">
        <f aca="false">IFERROR(N160/M160,0)</f>
        <v>0.979166666666667</v>
      </c>
      <c r="S160" s="8" t="n">
        <f aca="false">P160*Q160*R160</f>
        <v>0.692631578947369</v>
      </c>
    </row>
    <row r="161" customFormat="false" ht="15" hidden="false" customHeight="false" outlineLevel="0" collapsed="false">
      <c r="A161" s="4" t="n">
        <v>46084</v>
      </c>
      <c r="B161" s="5" t="n">
        <f aca="false">MONTH($A161)</f>
        <v>3</v>
      </c>
      <c r="C161" s="5" t="n">
        <v>3</v>
      </c>
      <c r="D161" s="6" t="str">
        <f aca="false">INDEX(Parametros!$B$16:$B$18,MATCH($C161,Parametros!$A$16:$A$18,0))</f>
        <v>E3 - Sellado y etiquetado</v>
      </c>
      <c r="E161" s="7" t="n">
        <f aca="false">IF(WEEKDAY($A161,2)&lt;6,Parametros!$B$21,Parametros!$B$22)</f>
        <v>6</v>
      </c>
      <c r="F161" s="7" t="n">
        <v>0.5</v>
      </c>
      <c r="G161" s="7" t="n">
        <f aca="false">E161-F161</f>
        <v>5.5</v>
      </c>
      <c r="H161" s="7" t="n">
        <v>0</v>
      </c>
      <c r="I161" s="7" t="n">
        <f aca="false">G161-H161</f>
        <v>5.5</v>
      </c>
      <c r="J161" s="6" t="s">
        <v>27</v>
      </c>
      <c r="K161" s="5" t="n">
        <f aca="false">INDEX(Parametros!$C$16:$C$18,MATCH($C161,Parametros!$A$16:$A$18,0))</f>
        <v>95</v>
      </c>
      <c r="L161" s="5" t="n">
        <f aca="false">I161*K161</f>
        <v>522.5</v>
      </c>
      <c r="M161" s="5" t="n">
        <v>329</v>
      </c>
      <c r="N161" s="5" t="n">
        <v>327</v>
      </c>
      <c r="O161" s="5" t="n">
        <f aca="false">M161-N161</f>
        <v>2</v>
      </c>
      <c r="P161" s="8" t="n">
        <f aca="false">IFERROR(I161/G161,0)</f>
        <v>1</v>
      </c>
      <c r="Q161" s="8" t="n">
        <f aca="false">IFERROR(M161/L161,0)</f>
        <v>0.629665071770335</v>
      </c>
      <c r="R161" s="8" t="n">
        <f aca="false">IFERROR(N161/M161,0)</f>
        <v>0.993920972644377</v>
      </c>
      <c r="S161" s="8" t="n">
        <f aca="false">P161*Q161*R161</f>
        <v>0.625837320574163</v>
      </c>
    </row>
    <row r="162" customFormat="false" ht="15" hidden="false" customHeight="false" outlineLevel="0" collapsed="false">
      <c r="A162" s="4" t="n">
        <v>46085</v>
      </c>
      <c r="B162" s="5" t="n">
        <f aca="false">MONTH($A162)</f>
        <v>3</v>
      </c>
      <c r="C162" s="5" t="n">
        <v>1</v>
      </c>
      <c r="D162" s="6" t="str">
        <f aca="false">INDEX(Parametros!$B$16:$B$18,MATCH($C162,Parametros!$A$16:$A$18,0))</f>
        <v>E1 - Lavado y sanitizado de bidones</v>
      </c>
      <c r="E162" s="7" t="n">
        <f aca="false">IF(WEEKDAY($A162,2)&lt;6,Parametros!$B$21,Parametros!$B$22)</f>
        <v>6</v>
      </c>
      <c r="F162" s="7" t="n">
        <v>0.5</v>
      </c>
      <c r="G162" s="7" t="n">
        <f aca="false">E162-F162</f>
        <v>5.5</v>
      </c>
      <c r="H162" s="7" t="n">
        <v>0.25</v>
      </c>
      <c r="I162" s="7" t="n">
        <f aca="false">G162-H162</f>
        <v>5.25</v>
      </c>
      <c r="J162" s="6" t="s">
        <v>30</v>
      </c>
      <c r="K162" s="5" t="n">
        <f aca="false">INDEX(Parametros!$C$16:$C$18,MATCH($C162,Parametros!$A$16:$A$18,0))</f>
        <v>100</v>
      </c>
      <c r="L162" s="5" t="n">
        <f aca="false">I162*K162</f>
        <v>525</v>
      </c>
      <c r="M162" s="5" t="n">
        <v>353</v>
      </c>
      <c r="N162" s="5" t="n">
        <v>349</v>
      </c>
      <c r="O162" s="5" t="n">
        <f aca="false">M162-N162</f>
        <v>4</v>
      </c>
      <c r="P162" s="8" t="n">
        <f aca="false">IFERROR(I162/G162,0)</f>
        <v>0.954545454545455</v>
      </c>
      <c r="Q162" s="8" t="n">
        <f aca="false">IFERROR(M162/L162,0)</f>
        <v>0.672380952380952</v>
      </c>
      <c r="R162" s="8" t="n">
        <f aca="false">IFERROR(N162/M162,0)</f>
        <v>0.988668555240793</v>
      </c>
      <c r="S162" s="8" t="n">
        <f aca="false">P162*Q162*R162</f>
        <v>0.634545454545455</v>
      </c>
    </row>
    <row r="163" customFormat="false" ht="15" hidden="false" customHeight="false" outlineLevel="0" collapsed="false">
      <c r="A163" s="4" t="n">
        <v>46085</v>
      </c>
      <c r="B163" s="5" t="n">
        <f aca="false">MONTH($A163)</f>
        <v>3</v>
      </c>
      <c r="C163" s="5" t="n">
        <v>2</v>
      </c>
      <c r="D163" s="6" t="str">
        <f aca="false">INDEX(Parametros!$B$16:$B$18,MATCH($C163,Parametros!$A$16:$A$18,0))</f>
        <v>E2 - Llenado y tapado</v>
      </c>
      <c r="E163" s="7" t="n">
        <f aca="false">IF(WEEKDAY($A163,2)&lt;6,Parametros!$B$21,Parametros!$B$22)</f>
        <v>6</v>
      </c>
      <c r="F163" s="7" t="n">
        <v>0.75</v>
      </c>
      <c r="G163" s="7" t="n">
        <f aca="false">E163-F163</f>
        <v>5.25</v>
      </c>
      <c r="H163" s="7" t="n">
        <v>0.5</v>
      </c>
      <c r="I163" s="7" t="n">
        <f aca="false">G163-H163</f>
        <v>4.75</v>
      </c>
      <c r="J163" s="6" t="s">
        <v>30</v>
      </c>
      <c r="K163" s="5" t="n">
        <f aca="false">INDEX(Parametros!$C$16:$C$18,MATCH($C163,Parametros!$A$16:$A$18,0))</f>
        <v>95</v>
      </c>
      <c r="L163" s="5" t="n">
        <f aca="false">I163*K163</f>
        <v>451.25</v>
      </c>
      <c r="M163" s="5" t="n">
        <v>349</v>
      </c>
      <c r="N163" s="5" t="n">
        <v>342</v>
      </c>
      <c r="O163" s="5" t="n">
        <f aca="false">M163-N163</f>
        <v>7</v>
      </c>
      <c r="P163" s="8" t="n">
        <f aca="false">IFERROR(I163/G163,0)</f>
        <v>0.904761904761905</v>
      </c>
      <c r="Q163" s="8" t="n">
        <f aca="false">IFERROR(M163/L163,0)</f>
        <v>0.773407202216067</v>
      </c>
      <c r="R163" s="8" t="n">
        <f aca="false">IFERROR(N163/M163,0)</f>
        <v>0.979942693409742</v>
      </c>
      <c r="S163" s="8" t="n">
        <f aca="false">P163*Q163*R163</f>
        <v>0.685714285714286</v>
      </c>
    </row>
    <row r="164" customFormat="false" ht="15" hidden="false" customHeight="false" outlineLevel="0" collapsed="false">
      <c r="A164" s="4" t="n">
        <v>46085</v>
      </c>
      <c r="B164" s="5" t="n">
        <f aca="false">MONTH($A164)</f>
        <v>3</v>
      </c>
      <c r="C164" s="5" t="n">
        <v>3</v>
      </c>
      <c r="D164" s="6" t="str">
        <f aca="false">INDEX(Parametros!$B$16:$B$18,MATCH($C164,Parametros!$A$16:$A$18,0))</f>
        <v>E3 - Sellado y etiquetado</v>
      </c>
      <c r="E164" s="7" t="n">
        <f aca="false">IF(WEEKDAY($A164,2)&lt;6,Parametros!$B$21,Parametros!$B$22)</f>
        <v>6</v>
      </c>
      <c r="F164" s="7" t="n">
        <v>0.25</v>
      </c>
      <c r="G164" s="7" t="n">
        <f aca="false">E164-F164</f>
        <v>5.75</v>
      </c>
      <c r="H164" s="7" t="n">
        <v>0</v>
      </c>
      <c r="I164" s="7" t="n">
        <f aca="false">G164-H164</f>
        <v>5.75</v>
      </c>
      <c r="J164" s="6" t="s">
        <v>27</v>
      </c>
      <c r="K164" s="5" t="n">
        <f aca="false">INDEX(Parametros!$C$16:$C$18,MATCH($C164,Parametros!$A$16:$A$18,0))</f>
        <v>95</v>
      </c>
      <c r="L164" s="5" t="n">
        <f aca="false">I164*K164</f>
        <v>546.25</v>
      </c>
      <c r="M164" s="5" t="n">
        <v>342</v>
      </c>
      <c r="N164" s="5" t="n">
        <v>339</v>
      </c>
      <c r="O164" s="5" t="n">
        <f aca="false">M164-N164</f>
        <v>3</v>
      </c>
      <c r="P164" s="8" t="n">
        <f aca="false">IFERROR(I164/G164,0)</f>
        <v>1</v>
      </c>
      <c r="Q164" s="8" t="n">
        <f aca="false">IFERROR(M164/L164,0)</f>
        <v>0.626086956521739</v>
      </c>
      <c r="R164" s="8" t="n">
        <f aca="false">IFERROR(N164/M164,0)</f>
        <v>0.991228070175439</v>
      </c>
      <c r="S164" s="8" t="n">
        <f aca="false">P164*Q164*R164</f>
        <v>0.620594965675057</v>
      </c>
    </row>
    <row r="165" customFormat="false" ht="15" hidden="false" customHeight="false" outlineLevel="0" collapsed="false">
      <c r="A165" s="4" t="n">
        <v>46086</v>
      </c>
      <c r="B165" s="5" t="n">
        <f aca="false">MONTH($A165)</f>
        <v>3</v>
      </c>
      <c r="C165" s="5" t="n">
        <v>1</v>
      </c>
      <c r="D165" s="6" t="str">
        <f aca="false">INDEX(Parametros!$B$16:$B$18,MATCH($C165,Parametros!$A$16:$A$18,0))</f>
        <v>E1 - Lavado y sanitizado de bidones</v>
      </c>
      <c r="E165" s="7" t="n">
        <f aca="false">IF(WEEKDAY($A165,2)&lt;6,Parametros!$B$21,Parametros!$B$22)</f>
        <v>6</v>
      </c>
      <c r="F165" s="7" t="n">
        <v>0.75</v>
      </c>
      <c r="G165" s="7" t="n">
        <f aca="false">E165-F165</f>
        <v>5.25</v>
      </c>
      <c r="H165" s="7" t="n">
        <v>0.75</v>
      </c>
      <c r="I165" s="7" t="n">
        <f aca="false">G165-H165</f>
        <v>4.5</v>
      </c>
      <c r="J165" s="6" t="s">
        <v>22</v>
      </c>
      <c r="K165" s="5" t="n">
        <f aca="false">INDEX(Parametros!$C$16:$C$18,MATCH($C165,Parametros!$A$16:$A$18,0))</f>
        <v>100</v>
      </c>
      <c r="L165" s="5" t="n">
        <f aca="false">I165*K165</f>
        <v>450</v>
      </c>
      <c r="M165" s="5" t="n">
        <v>350</v>
      </c>
      <c r="N165" s="5" t="n">
        <v>346</v>
      </c>
      <c r="O165" s="5" t="n">
        <f aca="false">M165-N165</f>
        <v>4</v>
      </c>
      <c r="P165" s="8" t="n">
        <f aca="false">IFERROR(I165/G165,0)</f>
        <v>0.857142857142857</v>
      </c>
      <c r="Q165" s="8" t="n">
        <f aca="false">IFERROR(M165/L165,0)</f>
        <v>0.777777777777778</v>
      </c>
      <c r="R165" s="8" t="n">
        <f aca="false">IFERROR(N165/M165,0)</f>
        <v>0.988571428571429</v>
      </c>
      <c r="S165" s="8" t="n">
        <f aca="false">P165*Q165*R165</f>
        <v>0.659047619047619</v>
      </c>
    </row>
    <row r="166" customFormat="false" ht="15" hidden="false" customHeight="false" outlineLevel="0" collapsed="false">
      <c r="A166" s="4" t="n">
        <v>46086</v>
      </c>
      <c r="B166" s="5" t="n">
        <f aca="false">MONTH($A166)</f>
        <v>3</v>
      </c>
      <c r="C166" s="5" t="n">
        <v>2</v>
      </c>
      <c r="D166" s="6" t="str">
        <f aca="false">INDEX(Parametros!$B$16:$B$18,MATCH($C166,Parametros!$A$16:$A$18,0))</f>
        <v>E2 - Llenado y tapado</v>
      </c>
      <c r="E166" s="7" t="n">
        <f aca="false">IF(WEEKDAY($A166,2)&lt;6,Parametros!$B$21,Parametros!$B$22)</f>
        <v>6</v>
      </c>
      <c r="F166" s="7" t="n">
        <v>0.75</v>
      </c>
      <c r="G166" s="7" t="n">
        <f aca="false">E166-F166</f>
        <v>5.25</v>
      </c>
      <c r="H166" s="7" t="n">
        <v>0.5</v>
      </c>
      <c r="I166" s="7" t="n">
        <f aca="false">G166-H166</f>
        <v>4.75</v>
      </c>
      <c r="J166" s="6" t="s">
        <v>28</v>
      </c>
      <c r="K166" s="5" t="n">
        <f aca="false">INDEX(Parametros!$C$16:$C$18,MATCH($C166,Parametros!$A$16:$A$18,0))</f>
        <v>95</v>
      </c>
      <c r="L166" s="5" t="n">
        <f aca="false">I166*K166</f>
        <v>451.25</v>
      </c>
      <c r="M166" s="5" t="n">
        <v>346</v>
      </c>
      <c r="N166" s="5" t="n">
        <v>336</v>
      </c>
      <c r="O166" s="5" t="n">
        <f aca="false">M166-N166</f>
        <v>10</v>
      </c>
      <c r="P166" s="8" t="n">
        <f aca="false">IFERROR(I166/G166,0)</f>
        <v>0.904761904761905</v>
      </c>
      <c r="Q166" s="8" t="n">
        <f aca="false">IFERROR(M166/L166,0)</f>
        <v>0.766759002770083</v>
      </c>
      <c r="R166" s="8" t="n">
        <f aca="false">IFERROR(N166/M166,0)</f>
        <v>0.971098265895954</v>
      </c>
      <c r="S166" s="8" t="n">
        <f aca="false">P166*Q166*R166</f>
        <v>0.673684210526316</v>
      </c>
    </row>
    <row r="167" customFormat="false" ht="15" hidden="false" customHeight="false" outlineLevel="0" collapsed="false">
      <c r="A167" s="4" t="n">
        <v>46086</v>
      </c>
      <c r="B167" s="5" t="n">
        <f aca="false">MONTH($A167)</f>
        <v>3</v>
      </c>
      <c r="C167" s="5" t="n">
        <v>3</v>
      </c>
      <c r="D167" s="6" t="str">
        <f aca="false">INDEX(Parametros!$B$16:$B$18,MATCH($C167,Parametros!$A$16:$A$18,0))</f>
        <v>E3 - Sellado y etiquetado</v>
      </c>
      <c r="E167" s="7" t="n">
        <f aca="false">IF(WEEKDAY($A167,2)&lt;6,Parametros!$B$21,Parametros!$B$22)</f>
        <v>6</v>
      </c>
      <c r="F167" s="7" t="n">
        <v>0.25</v>
      </c>
      <c r="G167" s="7" t="n">
        <f aca="false">E167-F167</f>
        <v>5.75</v>
      </c>
      <c r="H167" s="7" t="n">
        <v>0</v>
      </c>
      <c r="I167" s="7" t="n">
        <f aca="false">G167-H167</f>
        <v>5.75</v>
      </c>
      <c r="J167" s="6" t="s">
        <v>27</v>
      </c>
      <c r="K167" s="5" t="n">
        <f aca="false">INDEX(Parametros!$C$16:$C$18,MATCH($C167,Parametros!$A$16:$A$18,0))</f>
        <v>95</v>
      </c>
      <c r="L167" s="5" t="n">
        <f aca="false">I167*K167</f>
        <v>546.25</v>
      </c>
      <c r="M167" s="5" t="n">
        <v>336</v>
      </c>
      <c r="N167" s="5" t="n">
        <v>334</v>
      </c>
      <c r="O167" s="5" t="n">
        <f aca="false">M167-N167</f>
        <v>2</v>
      </c>
      <c r="P167" s="8" t="n">
        <f aca="false">IFERROR(I167/G167,0)</f>
        <v>1</v>
      </c>
      <c r="Q167" s="8" t="n">
        <f aca="false">IFERROR(M167/L167,0)</f>
        <v>0.615102974828375</v>
      </c>
      <c r="R167" s="8" t="n">
        <f aca="false">IFERROR(N167/M167,0)</f>
        <v>0.994047619047619</v>
      </c>
      <c r="S167" s="8" t="n">
        <f aca="false">P167*Q167*R167</f>
        <v>0.611441647597254</v>
      </c>
    </row>
    <row r="168" customFormat="false" ht="15" hidden="false" customHeight="false" outlineLevel="0" collapsed="false">
      <c r="A168" s="4" t="n">
        <v>46087</v>
      </c>
      <c r="B168" s="5" t="n">
        <f aca="false">MONTH($A168)</f>
        <v>3</v>
      </c>
      <c r="C168" s="5" t="n">
        <v>1</v>
      </c>
      <c r="D168" s="6" t="str">
        <f aca="false">INDEX(Parametros!$B$16:$B$18,MATCH($C168,Parametros!$A$16:$A$18,0))</f>
        <v>E1 - Lavado y sanitizado de bidones</v>
      </c>
      <c r="E168" s="7" t="n">
        <f aca="false">IF(WEEKDAY($A168,2)&lt;6,Parametros!$B$21,Parametros!$B$22)</f>
        <v>6</v>
      </c>
      <c r="F168" s="7" t="n">
        <v>0.5</v>
      </c>
      <c r="G168" s="7" t="n">
        <f aca="false">E168-F168</f>
        <v>5.5</v>
      </c>
      <c r="H168" s="7" t="n">
        <v>0</v>
      </c>
      <c r="I168" s="7" t="n">
        <f aca="false">G168-H168</f>
        <v>5.5</v>
      </c>
      <c r="J168" s="6" t="s">
        <v>27</v>
      </c>
      <c r="K168" s="5" t="n">
        <f aca="false">INDEX(Parametros!$C$16:$C$18,MATCH($C168,Parametros!$A$16:$A$18,0))</f>
        <v>100</v>
      </c>
      <c r="L168" s="5" t="n">
        <f aca="false">I168*K168</f>
        <v>550</v>
      </c>
      <c r="M168" s="5" t="n">
        <v>339</v>
      </c>
      <c r="N168" s="5" t="n">
        <v>335</v>
      </c>
      <c r="O168" s="5" t="n">
        <f aca="false">M168-N168</f>
        <v>4</v>
      </c>
      <c r="P168" s="8" t="n">
        <f aca="false">IFERROR(I168/G168,0)</f>
        <v>1</v>
      </c>
      <c r="Q168" s="8" t="n">
        <f aca="false">IFERROR(M168/L168,0)</f>
        <v>0.616363636363636</v>
      </c>
      <c r="R168" s="8" t="n">
        <f aca="false">IFERROR(N168/M168,0)</f>
        <v>0.988200589970501</v>
      </c>
      <c r="S168" s="8" t="n">
        <f aca="false">P168*Q168*R168</f>
        <v>0.609090909090909</v>
      </c>
    </row>
    <row r="169" customFormat="false" ht="15" hidden="false" customHeight="false" outlineLevel="0" collapsed="false">
      <c r="A169" s="4" t="n">
        <v>46087</v>
      </c>
      <c r="B169" s="5" t="n">
        <f aca="false">MONTH($A169)</f>
        <v>3</v>
      </c>
      <c r="C169" s="5" t="n">
        <v>2</v>
      </c>
      <c r="D169" s="6" t="str">
        <f aca="false">INDEX(Parametros!$B$16:$B$18,MATCH($C169,Parametros!$A$16:$A$18,0))</f>
        <v>E2 - Llenado y tapado</v>
      </c>
      <c r="E169" s="7" t="n">
        <f aca="false">IF(WEEKDAY($A169,2)&lt;6,Parametros!$B$21,Parametros!$B$22)</f>
        <v>6</v>
      </c>
      <c r="F169" s="7" t="n">
        <v>0.75</v>
      </c>
      <c r="G169" s="7" t="n">
        <f aca="false">E169-F169</f>
        <v>5.25</v>
      </c>
      <c r="H169" s="7" t="n">
        <v>0</v>
      </c>
      <c r="I169" s="7" t="n">
        <f aca="false">G169-H169</f>
        <v>5.25</v>
      </c>
      <c r="J169" s="6" t="s">
        <v>27</v>
      </c>
      <c r="K169" s="5" t="n">
        <f aca="false">INDEX(Parametros!$C$16:$C$18,MATCH($C169,Parametros!$A$16:$A$18,0))</f>
        <v>95</v>
      </c>
      <c r="L169" s="5" t="n">
        <f aca="false">I169*K169</f>
        <v>498.75</v>
      </c>
      <c r="M169" s="5" t="n">
        <v>335</v>
      </c>
      <c r="N169" s="5" t="n">
        <v>328</v>
      </c>
      <c r="O169" s="5" t="n">
        <f aca="false">M169-N169</f>
        <v>7</v>
      </c>
      <c r="P169" s="8" t="n">
        <f aca="false">IFERROR(I169/G169,0)</f>
        <v>1</v>
      </c>
      <c r="Q169" s="8" t="n">
        <f aca="false">IFERROR(M169/L169,0)</f>
        <v>0.671679197994987</v>
      </c>
      <c r="R169" s="8" t="n">
        <f aca="false">IFERROR(N169/M169,0)</f>
        <v>0.97910447761194</v>
      </c>
      <c r="S169" s="8" t="n">
        <f aca="false">P169*Q169*R169</f>
        <v>0.657644110275689</v>
      </c>
    </row>
    <row r="170" customFormat="false" ht="15" hidden="false" customHeight="false" outlineLevel="0" collapsed="false">
      <c r="A170" s="4" t="n">
        <v>46087</v>
      </c>
      <c r="B170" s="5" t="n">
        <f aca="false">MONTH($A170)</f>
        <v>3</v>
      </c>
      <c r="C170" s="5" t="n">
        <v>3</v>
      </c>
      <c r="D170" s="6" t="str">
        <f aca="false">INDEX(Parametros!$B$16:$B$18,MATCH($C170,Parametros!$A$16:$A$18,0))</f>
        <v>E3 - Sellado y etiquetado</v>
      </c>
      <c r="E170" s="7" t="n">
        <f aca="false">IF(WEEKDAY($A170,2)&lt;6,Parametros!$B$21,Parametros!$B$22)</f>
        <v>6</v>
      </c>
      <c r="F170" s="7" t="n">
        <v>0.25</v>
      </c>
      <c r="G170" s="7" t="n">
        <f aca="false">E170-F170</f>
        <v>5.75</v>
      </c>
      <c r="H170" s="7" t="n">
        <v>0</v>
      </c>
      <c r="I170" s="7" t="n">
        <f aca="false">G170-H170</f>
        <v>5.75</v>
      </c>
      <c r="J170" s="6" t="s">
        <v>27</v>
      </c>
      <c r="K170" s="5" t="n">
        <f aca="false">INDEX(Parametros!$C$16:$C$18,MATCH($C170,Parametros!$A$16:$A$18,0))</f>
        <v>95</v>
      </c>
      <c r="L170" s="5" t="n">
        <f aca="false">I170*K170</f>
        <v>546.25</v>
      </c>
      <c r="M170" s="5" t="n">
        <v>328</v>
      </c>
      <c r="N170" s="5" t="n">
        <v>324</v>
      </c>
      <c r="O170" s="5" t="n">
        <f aca="false">M170-N170</f>
        <v>4</v>
      </c>
      <c r="P170" s="8" t="n">
        <f aca="false">IFERROR(I170/G170,0)</f>
        <v>1</v>
      </c>
      <c r="Q170" s="8" t="n">
        <f aca="false">IFERROR(M170/L170,0)</f>
        <v>0.60045766590389</v>
      </c>
      <c r="R170" s="8" t="n">
        <f aca="false">IFERROR(N170/M170,0)</f>
        <v>0.987804878048781</v>
      </c>
      <c r="S170" s="8" t="n">
        <f aca="false">P170*Q170*R170</f>
        <v>0.593135011441648</v>
      </c>
    </row>
    <row r="171" customFormat="false" ht="15" hidden="false" customHeight="false" outlineLevel="0" collapsed="false">
      <c r="A171" s="4" t="n">
        <v>46088</v>
      </c>
      <c r="B171" s="5" t="n">
        <f aca="false">MONTH($A171)</f>
        <v>3</v>
      </c>
      <c r="C171" s="5" t="n">
        <v>1</v>
      </c>
      <c r="D171" s="6" t="str">
        <f aca="false">INDEX(Parametros!$B$16:$B$18,MATCH($C171,Parametros!$A$16:$A$18,0))</f>
        <v>E1 - Lavado y sanitizado de bidones</v>
      </c>
      <c r="E171" s="7" t="n">
        <f aca="false">IF(WEEKDAY($A171,2)&lt;6,Parametros!$B$21,Parametros!$B$22)</f>
        <v>4</v>
      </c>
      <c r="F171" s="7" t="n">
        <v>0.75</v>
      </c>
      <c r="G171" s="7" t="n">
        <f aca="false">E171-F171</f>
        <v>3.25</v>
      </c>
      <c r="H171" s="7" t="n">
        <v>0.75</v>
      </c>
      <c r="I171" s="7" t="n">
        <f aca="false">G171-H171</f>
        <v>2.5</v>
      </c>
      <c r="J171" s="6" t="s">
        <v>29</v>
      </c>
      <c r="K171" s="5" t="n">
        <f aca="false">INDEX(Parametros!$C$16:$C$18,MATCH($C171,Parametros!$A$16:$A$18,0))</f>
        <v>100</v>
      </c>
      <c r="L171" s="5" t="n">
        <f aca="false">I171*K171</f>
        <v>250</v>
      </c>
      <c r="M171" s="5" t="n">
        <v>127</v>
      </c>
      <c r="N171" s="5" t="n">
        <v>125</v>
      </c>
      <c r="O171" s="5" t="n">
        <f aca="false">M171-N171</f>
        <v>2</v>
      </c>
      <c r="P171" s="8" t="n">
        <f aca="false">IFERROR(I171/G171,0)</f>
        <v>0.769230769230769</v>
      </c>
      <c r="Q171" s="8" t="n">
        <f aca="false">IFERROR(M171/L171,0)</f>
        <v>0.508</v>
      </c>
      <c r="R171" s="8" t="n">
        <f aca="false">IFERROR(N171/M171,0)</f>
        <v>0.984251968503937</v>
      </c>
      <c r="S171" s="8" t="n">
        <f aca="false">P171*Q171*R171</f>
        <v>0.384615384615385</v>
      </c>
    </row>
    <row r="172" customFormat="false" ht="15" hidden="false" customHeight="false" outlineLevel="0" collapsed="false">
      <c r="A172" s="4" t="n">
        <v>46088</v>
      </c>
      <c r="B172" s="5" t="n">
        <f aca="false">MONTH($A172)</f>
        <v>3</v>
      </c>
      <c r="C172" s="5" t="n">
        <v>2</v>
      </c>
      <c r="D172" s="6" t="str">
        <f aca="false">INDEX(Parametros!$B$16:$B$18,MATCH($C172,Parametros!$A$16:$A$18,0))</f>
        <v>E2 - Llenado y tapado</v>
      </c>
      <c r="E172" s="7" t="n">
        <f aca="false">IF(WEEKDAY($A172,2)&lt;6,Parametros!$B$21,Parametros!$B$22)</f>
        <v>4</v>
      </c>
      <c r="F172" s="7" t="n">
        <v>1</v>
      </c>
      <c r="G172" s="7" t="n">
        <f aca="false">E172-F172</f>
        <v>3</v>
      </c>
      <c r="H172" s="7" t="n">
        <v>1.5</v>
      </c>
      <c r="I172" s="7" t="n">
        <f aca="false">G172-H172</f>
        <v>1.5</v>
      </c>
      <c r="J172" s="6" t="s">
        <v>28</v>
      </c>
      <c r="K172" s="5" t="n">
        <f aca="false">INDEX(Parametros!$C$16:$C$18,MATCH($C172,Parametros!$A$16:$A$18,0))</f>
        <v>95</v>
      </c>
      <c r="L172" s="5" t="n">
        <f aca="false">I172*K172</f>
        <v>142.5</v>
      </c>
      <c r="M172" s="5" t="n">
        <v>125</v>
      </c>
      <c r="N172" s="5" t="n">
        <v>123</v>
      </c>
      <c r="O172" s="5" t="n">
        <f aca="false">M172-N172</f>
        <v>2</v>
      </c>
      <c r="P172" s="8" t="n">
        <f aca="false">IFERROR(I172/G172,0)</f>
        <v>0.5</v>
      </c>
      <c r="Q172" s="8" t="n">
        <f aca="false">IFERROR(M172/L172,0)</f>
        <v>0.87719298245614</v>
      </c>
      <c r="R172" s="8" t="n">
        <f aca="false">IFERROR(N172/M172,0)</f>
        <v>0.984</v>
      </c>
      <c r="S172" s="8" t="n">
        <f aca="false">P172*Q172*R172</f>
        <v>0.431578947368421</v>
      </c>
    </row>
    <row r="173" customFormat="false" ht="15" hidden="false" customHeight="false" outlineLevel="0" collapsed="false">
      <c r="A173" s="4" t="n">
        <v>46088</v>
      </c>
      <c r="B173" s="5" t="n">
        <f aca="false">MONTH($A173)</f>
        <v>3</v>
      </c>
      <c r="C173" s="5" t="n">
        <v>3</v>
      </c>
      <c r="D173" s="6" t="str">
        <f aca="false">INDEX(Parametros!$B$16:$B$18,MATCH($C173,Parametros!$A$16:$A$18,0))</f>
        <v>E3 - Sellado y etiquetado</v>
      </c>
      <c r="E173" s="7" t="n">
        <f aca="false">IF(WEEKDAY($A173,2)&lt;6,Parametros!$B$21,Parametros!$B$22)</f>
        <v>4</v>
      </c>
      <c r="F173" s="7" t="n">
        <v>0.5</v>
      </c>
      <c r="G173" s="7" t="n">
        <f aca="false">E173-F173</f>
        <v>3.5</v>
      </c>
      <c r="H173" s="7" t="n">
        <v>0.75</v>
      </c>
      <c r="I173" s="7" t="n">
        <f aca="false">G173-H173</f>
        <v>2.75</v>
      </c>
      <c r="J173" s="6" t="s">
        <v>29</v>
      </c>
      <c r="K173" s="5" t="n">
        <f aca="false">INDEX(Parametros!$C$16:$C$18,MATCH($C173,Parametros!$A$16:$A$18,0))</f>
        <v>95</v>
      </c>
      <c r="L173" s="5" t="n">
        <f aca="false">I173*K173</f>
        <v>261.25</v>
      </c>
      <c r="M173" s="5" t="n">
        <v>123</v>
      </c>
      <c r="N173" s="5" t="n">
        <v>122</v>
      </c>
      <c r="O173" s="5" t="n">
        <f aca="false">M173-N173</f>
        <v>1</v>
      </c>
      <c r="P173" s="8" t="n">
        <f aca="false">IFERROR(I173/G173,0)</f>
        <v>0.785714285714286</v>
      </c>
      <c r="Q173" s="8" t="n">
        <f aca="false">IFERROR(M173/L173,0)</f>
        <v>0.470813397129187</v>
      </c>
      <c r="R173" s="8" t="n">
        <f aca="false">IFERROR(N173/M173,0)</f>
        <v>0.991869918699187</v>
      </c>
      <c r="S173" s="8" t="n">
        <f aca="false">P173*Q173*R173</f>
        <v>0.366917293233083</v>
      </c>
    </row>
    <row r="174" customFormat="false" ht="15" hidden="false" customHeight="false" outlineLevel="0" collapsed="false">
      <c r="A174" s="4" t="n">
        <v>46090</v>
      </c>
      <c r="B174" s="5" t="n">
        <f aca="false">MONTH($A174)</f>
        <v>3</v>
      </c>
      <c r="C174" s="5" t="n">
        <v>1</v>
      </c>
      <c r="D174" s="6" t="str">
        <f aca="false">INDEX(Parametros!$B$16:$B$18,MATCH($C174,Parametros!$A$16:$A$18,0))</f>
        <v>E1 - Lavado y sanitizado de bidones</v>
      </c>
      <c r="E174" s="7" t="n">
        <f aca="false">IF(WEEKDAY($A174,2)&lt;6,Parametros!$B$21,Parametros!$B$22)</f>
        <v>6</v>
      </c>
      <c r="F174" s="7" t="n">
        <v>0.5</v>
      </c>
      <c r="G174" s="7" t="n">
        <f aca="false">E174-F174</f>
        <v>5.5</v>
      </c>
      <c r="H174" s="7" t="n">
        <v>0</v>
      </c>
      <c r="I174" s="7" t="n">
        <f aca="false">G174-H174</f>
        <v>5.5</v>
      </c>
      <c r="J174" s="6" t="s">
        <v>27</v>
      </c>
      <c r="K174" s="5" t="n">
        <f aca="false">INDEX(Parametros!$C$16:$C$18,MATCH($C174,Parametros!$A$16:$A$18,0))</f>
        <v>100</v>
      </c>
      <c r="L174" s="5" t="n">
        <f aca="false">I174*K174</f>
        <v>550</v>
      </c>
      <c r="M174" s="5" t="n">
        <v>364</v>
      </c>
      <c r="N174" s="5" t="n">
        <v>361</v>
      </c>
      <c r="O174" s="5" t="n">
        <f aca="false">M174-N174</f>
        <v>3</v>
      </c>
      <c r="P174" s="8" t="n">
        <f aca="false">IFERROR(I174/G174,0)</f>
        <v>1</v>
      </c>
      <c r="Q174" s="8" t="n">
        <f aca="false">IFERROR(M174/L174,0)</f>
        <v>0.661818181818182</v>
      </c>
      <c r="R174" s="8" t="n">
        <f aca="false">IFERROR(N174/M174,0)</f>
        <v>0.991758241758242</v>
      </c>
      <c r="S174" s="8" t="n">
        <f aca="false">P174*Q174*R174</f>
        <v>0.656363636363636</v>
      </c>
    </row>
    <row r="175" customFormat="false" ht="15" hidden="false" customHeight="false" outlineLevel="0" collapsed="false">
      <c r="A175" s="4" t="n">
        <v>46090</v>
      </c>
      <c r="B175" s="5" t="n">
        <f aca="false">MONTH($A175)</f>
        <v>3</v>
      </c>
      <c r="C175" s="5" t="n">
        <v>2</v>
      </c>
      <c r="D175" s="6" t="str">
        <f aca="false">INDEX(Parametros!$B$16:$B$18,MATCH($C175,Parametros!$A$16:$A$18,0))</f>
        <v>E2 - Llenado y tapado</v>
      </c>
      <c r="E175" s="7" t="n">
        <f aca="false">IF(WEEKDAY($A175,2)&lt;6,Parametros!$B$21,Parametros!$B$22)</f>
        <v>6</v>
      </c>
      <c r="F175" s="7" t="n">
        <v>0.75</v>
      </c>
      <c r="G175" s="7" t="n">
        <f aca="false">E175-F175</f>
        <v>5.25</v>
      </c>
      <c r="H175" s="7" t="n">
        <v>0.5</v>
      </c>
      <c r="I175" s="7" t="n">
        <f aca="false">G175-H175</f>
        <v>4.75</v>
      </c>
      <c r="J175" s="6" t="s">
        <v>28</v>
      </c>
      <c r="K175" s="5" t="n">
        <f aca="false">INDEX(Parametros!$C$16:$C$18,MATCH($C175,Parametros!$A$16:$A$18,0))</f>
        <v>95</v>
      </c>
      <c r="L175" s="5" t="n">
        <f aca="false">I175*K175</f>
        <v>451.25</v>
      </c>
      <c r="M175" s="5" t="n">
        <v>361</v>
      </c>
      <c r="N175" s="5" t="n">
        <v>352</v>
      </c>
      <c r="O175" s="5" t="n">
        <f aca="false">M175-N175</f>
        <v>9</v>
      </c>
      <c r="P175" s="8" t="n">
        <f aca="false">IFERROR(I175/G175,0)</f>
        <v>0.904761904761905</v>
      </c>
      <c r="Q175" s="8" t="n">
        <f aca="false">IFERROR(M175/L175,0)</f>
        <v>0.8</v>
      </c>
      <c r="R175" s="8" t="n">
        <f aca="false">IFERROR(N175/M175,0)</f>
        <v>0.975069252077562</v>
      </c>
      <c r="S175" s="8" t="n">
        <f aca="false">P175*Q175*R175</f>
        <v>0.705764411027569</v>
      </c>
    </row>
    <row r="176" customFormat="false" ht="15" hidden="false" customHeight="false" outlineLevel="0" collapsed="false">
      <c r="A176" s="4" t="n">
        <v>46090</v>
      </c>
      <c r="B176" s="5" t="n">
        <f aca="false">MONTH($A176)</f>
        <v>3</v>
      </c>
      <c r="C176" s="5" t="n">
        <v>3</v>
      </c>
      <c r="D176" s="6" t="str">
        <f aca="false">INDEX(Parametros!$B$16:$B$18,MATCH($C176,Parametros!$A$16:$A$18,0))</f>
        <v>E3 - Sellado y etiquetado</v>
      </c>
      <c r="E176" s="7" t="n">
        <f aca="false">IF(WEEKDAY($A176,2)&lt;6,Parametros!$B$21,Parametros!$B$22)</f>
        <v>6</v>
      </c>
      <c r="F176" s="7" t="n">
        <v>0.25</v>
      </c>
      <c r="G176" s="7" t="n">
        <f aca="false">E176-F176</f>
        <v>5.75</v>
      </c>
      <c r="H176" s="7" t="n">
        <v>0.5</v>
      </c>
      <c r="I176" s="7" t="n">
        <f aca="false">G176-H176</f>
        <v>5.25</v>
      </c>
      <c r="J176" s="6" t="s">
        <v>23</v>
      </c>
      <c r="K176" s="5" t="n">
        <f aca="false">INDEX(Parametros!$C$16:$C$18,MATCH($C176,Parametros!$A$16:$A$18,0))</f>
        <v>95</v>
      </c>
      <c r="L176" s="5" t="n">
        <f aca="false">I176*K176</f>
        <v>498.75</v>
      </c>
      <c r="M176" s="5" t="n">
        <v>352</v>
      </c>
      <c r="N176" s="5" t="n">
        <v>347</v>
      </c>
      <c r="O176" s="5" t="n">
        <f aca="false">M176-N176</f>
        <v>5</v>
      </c>
      <c r="P176" s="8" t="n">
        <f aca="false">IFERROR(I176/G176,0)</f>
        <v>0.91304347826087</v>
      </c>
      <c r="Q176" s="8" t="n">
        <f aca="false">IFERROR(M176/L176,0)</f>
        <v>0.705764411027569</v>
      </c>
      <c r="R176" s="8" t="n">
        <f aca="false">IFERROR(N176/M176,0)</f>
        <v>0.985795454545455</v>
      </c>
      <c r="S176" s="8" t="n">
        <f aca="false">P176*Q176*R176</f>
        <v>0.635240274599542</v>
      </c>
    </row>
    <row r="177" customFormat="false" ht="15" hidden="false" customHeight="false" outlineLevel="0" collapsed="false">
      <c r="A177" s="4" t="n">
        <v>46091</v>
      </c>
      <c r="B177" s="5" t="n">
        <f aca="false">MONTH($A177)</f>
        <v>3</v>
      </c>
      <c r="C177" s="5" t="n">
        <v>1</v>
      </c>
      <c r="D177" s="6" t="str">
        <f aca="false">INDEX(Parametros!$B$16:$B$18,MATCH($C177,Parametros!$A$16:$A$18,0))</f>
        <v>E1 - Lavado y sanitizado de bidones</v>
      </c>
      <c r="E177" s="7" t="n">
        <f aca="false">IF(WEEKDAY($A177,2)&lt;6,Parametros!$B$21,Parametros!$B$22)</f>
        <v>6</v>
      </c>
      <c r="F177" s="7" t="n">
        <v>0.5</v>
      </c>
      <c r="G177" s="7" t="n">
        <f aca="false">E177-F177</f>
        <v>5.5</v>
      </c>
      <c r="H177" s="7" t="n">
        <v>0.5</v>
      </c>
      <c r="I177" s="7" t="n">
        <f aca="false">G177-H177</f>
        <v>5</v>
      </c>
      <c r="J177" s="6" t="s">
        <v>26</v>
      </c>
      <c r="K177" s="5" t="n">
        <f aca="false">INDEX(Parametros!$C$16:$C$18,MATCH($C177,Parametros!$A$16:$A$18,0))</f>
        <v>100</v>
      </c>
      <c r="L177" s="5" t="n">
        <f aca="false">I177*K177</f>
        <v>500</v>
      </c>
      <c r="M177" s="5" t="n">
        <v>380</v>
      </c>
      <c r="N177" s="5" t="n">
        <v>375</v>
      </c>
      <c r="O177" s="5" t="n">
        <f aca="false">M177-N177</f>
        <v>5</v>
      </c>
      <c r="P177" s="8" t="n">
        <f aca="false">IFERROR(I177/G177,0)</f>
        <v>0.909090909090909</v>
      </c>
      <c r="Q177" s="8" t="n">
        <f aca="false">IFERROR(M177/L177,0)</f>
        <v>0.76</v>
      </c>
      <c r="R177" s="8" t="n">
        <f aca="false">IFERROR(N177/M177,0)</f>
        <v>0.986842105263158</v>
      </c>
      <c r="S177" s="8" t="n">
        <f aca="false">P177*Q177*R177</f>
        <v>0.681818181818182</v>
      </c>
    </row>
    <row r="178" customFormat="false" ht="15" hidden="false" customHeight="false" outlineLevel="0" collapsed="false">
      <c r="A178" s="4" t="n">
        <v>46091</v>
      </c>
      <c r="B178" s="5" t="n">
        <f aca="false">MONTH($A178)</f>
        <v>3</v>
      </c>
      <c r="C178" s="5" t="n">
        <v>2</v>
      </c>
      <c r="D178" s="6" t="str">
        <f aca="false">INDEX(Parametros!$B$16:$B$18,MATCH($C178,Parametros!$A$16:$A$18,0))</f>
        <v>E2 - Llenado y tapado</v>
      </c>
      <c r="E178" s="7" t="n">
        <f aca="false">IF(WEEKDAY($A178,2)&lt;6,Parametros!$B$21,Parametros!$B$22)</f>
        <v>6</v>
      </c>
      <c r="F178" s="7" t="n">
        <v>0.75</v>
      </c>
      <c r="G178" s="7" t="n">
        <f aca="false">E178-F178</f>
        <v>5.25</v>
      </c>
      <c r="H178" s="7" t="n">
        <v>0.25</v>
      </c>
      <c r="I178" s="7" t="n">
        <f aca="false">G178-H178</f>
        <v>5</v>
      </c>
      <c r="J178" s="6" t="s">
        <v>28</v>
      </c>
      <c r="K178" s="5" t="n">
        <f aca="false">INDEX(Parametros!$C$16:$C$18,MATCH($C178,Parametros!$A$16:$A$18,0))</f>
        <v>95</v>
      </c>
      <c r="L178" s="5" t="n">
        <f aca="false">I178*K178</f>
        <v>475</v>
      </c>
      <c r="M178" s="5" t="n">
        <v>375</v>
      </c>
      <c r="N178" s="5" t="n">
        <v>365</v>
      </c>
      <c r="O178" s="5" t="n">
        <f aca="false">M178-N178</f>
        <v>10</v>
      </c>
      <c r="P178" s="8" t="n">
        <f aca="false">IFERROR(I178/G178,0)</f>
        <v>0.952380952380952</v>
      </c>
      <c r="Q178" s="8" t="n">
        <f aca="false">IFERROR(M178/L178,0)</f>
        <v>0.789473684210526</v>
      </c>
      <c r="R178" s="8" t="n">
        <f aca="false">IFERROR(N178/M178,0)</f>
        <v>0.973333333333333</v>
      </c>
      <c r="S178" s="8" t="n">
        <f aca="false">P178*Q178*R178</f>
        <v>0.731829573934837</v>
      </c>
    </row>
    <row r="179" customFormat="false" ht="15" hidden="false" customHeight="false" outlineLevel="0" collapsed="false">
      <c r="A179" s="4" t="n">
        <v>46091</v>
      </c>
      <c r="B179" s="5" t="n">
        <f aca="false">MONTH($A179)</f>
        <v>3</v>
      </c>
      <c r="C179" s="5" t="n">
        <v>3</v>
      </c>
      <c r="D179" s="6" t="str">
        <f aca="false">INDEX(Parametros!$B$16:$B$18,MATCH($C179,Parametros!$A$16:$A$18,0))</f>
        <v>E3 - Sellado y etiquetado</v>
      </c>
      <c r="E179" s="7" t="n">
        <f aca="false">IF(WEEKDAY($A179,2)&lt;6,Parametros!$B$21,Parametros!$B$22)</f>
        <v>6</v>
      </c>
      <c r="F179" s="7" t="n">
        <v>0.25</v>
      </c>
      <c r="G179" s="7" t="n">
        <f aca="false">E179-F179</f>
        <v>5.75</v>
      </c>
      <c r="H179" s="7" t="n">
        <v>0.25</v>
      </c>
      <c r="I179" s="7" t="n">
        <f aca="false">G179-H179</f>
        <v>5.5</v>
      </c>
      <c r="J179" s="6" t="s">
        <v>23</v>
      </c>
      <c r="K179" s="5" t="n">
        <f aca="false">INDEX(Parametros!$C$16:$C$18,MATCH($C179,Parametros!$A$16:$A$18,0))</f>
        <v>95</v>
      </c>
      <c r="L179" s="5" t="n">
        <f aca="false">I179*K179</f>
        <v>522.5</v>
      </c>
      <c r="M179" s="5" t="n">
        <v>365</v>
      </c>
      <c r="N179" s="5" t="n">
        <v>363</v>
      </c>
      <c r="O179" s="5" t="n">
        <f aca="false">M179-N179</f>
        <v>2</v>
      </c>
      <c r="P179" s="8" t="n">
        <f aca="false">IFERROR(I179/G179,0)</f>
        <v>0.956521739130435</v>
      </c>
      <c r="Q179" s="8" t="n">
        <f aca="false">IFERROR(M179/L179,0)</f>
        <v>0.698564593301435</v>
      </c>
      <c r="R179" s="8" t="n">
        <f aca="false">IFERROR(N179/M179,0)</f>
        <v>0.994520547945206</v>
      </c>
      <c r="S179" s="8" t="n">
        <f aca="false">P179*Q179*R179</f>
        <v>0.664530892448513</v>
      </c>
    </row>
    <row r="180" customFormat="false" ht="15" hidden="false" customHeight="false" outlineLevel="0" collapsed="false">
      <c r="A180" s="4" t="n">
        <v>46092</v>
      </c>
      <c r="B180" s="5" t="n">
        <f aca="false">MONTH($A180)</f>
        <v>3</v>
      </c>
      <c r="C180" s="5" t="n">
        <v>1</v>
      </c>
      <c r="D180" s="6" t="str">
        <f aca="false">INDEX(Parametros!$B$16:$B$18,MATCH($C180,Parametros!$A$16:$A$18,0))</f>
        <v>E1 - Lavado y sanitizado de bidones</v>
      </c>
      <c r="E180" s="7" t="n">
        <f aca="false">IF(WEEKDAY($A180,2)&lt;6,Parametros!$B$21,Parametros!$B$22)</f>
        <v>6</v>
      </c>
      <c r="F180" s="7" t="n">
        <v>0.5</v>
      </c>
      <c r="G180" s="7" t="n">
        <f aca="false">E180-F180</f>
        <v>5.5</v>
      </c>
      <c r="H180" s="7" t="n">
        <v>0.5</v>
      </c>
      <c r="I180" s="7" t="n">
        <f aca="false">G180-H180</f>
        <v>5</v>
      </c>
      <c r="J180" s="6" t="s">
        <v>30</v>
      </c>
      <c r="K180" s="5" t="n">
        <f aca="false">INDEX(Parametros!$C$16:$C$18,MATCH($C180,Parametros!$A$16:$A$18,0))</f>
        <v>100</v>
      </c>
      <c r="L180" s="5" t="n">
        <f aca="false">I180*K180</f>
        <v>500</v>
      </c>
      <c r="M180" s="5" t="n">
        <v>323</v>
      </c>
      <c r="N180" s="5" t="n">
        <v>320</v>
      </c>
      <c r="O180" s="5" t="n">
        <f aca="false">M180-N180</f>
        <v>3</v>
      </c>
      <c r="P180" s="8" t="n">
        <f aca="false">IFERROR(I180/G180,0)</f>
        <v>0.909090909090909</v>
      </c>
      <c r="Q180" s="8" t="n">
        <f aca="false">IFERROR(M180/L180,0)</f>
        <v>0.646</v>
      </c>
      <c r="R180" s="8" t="n">
        <f aca="false">IFERROR(N180/M180,0)</f>
        <v>0.990712074303406</v>
      </c>
      <c r="S180" s="8" t="n">
        <f aca="false">P180*Q180*R180</f>
        <v>0.581818181818182</v>
      </c>
    </row>
    <row r="181" customFormat="false" ht="15" hidden="false" customHeight="false" outlineLevel="0" collapsed="false">
      <c r="A181" s="4" t="n">
        <v>46092</v>
      </c>
      <c r="B181" s="5" t="n">
        <f aca="false">MONTH($A181)</f>
        <v>3</v>
      </c>
      <c r="C181" s="5" t="n">
        <v>2</v>
      </c>
      <c r="D181" s="6" t="str">
        <f aca="false">INDEX(Parametros!$B$16:$B$18,MATCH($C181,Parametros!$A$16:$A$18,0))</f>
        <v>E2 - Llenado y tapado</v>
      </c>
      <c r="E181" s="7" t="n">
        <f aca="false">IF(WEEKDAY($A181,2)&lt;6,Parametros!$B$21,Parametros!$B$22)</f>
        <v>6</v>
      </c>
      <c r="F181" s="7" t="n">
        <v>0.75</v>
      </c>
      <c r="G181" s="7" t="n">
        <f aca="false">E181-F181</f>
        <v>5.25</v>
      </c>
      <c r="H181" s="7" t="n">
        <v>0</v>
      </c>
      <c r="I181" s="7" t="n">
        <f aca="false">G181-H181</f>
        <v>5.25</v>
      </c>
      <c r="J181" s="6" t="s">
        <v>27</v>
      </c>
      <c r="K181" s="5" t="n">
        <f aca="false">INDEX(Parametros!$C$16:$C$18,MATCH($C181,Parametros!$A$16:$A$18,0))</f>
        <v>95</v>
      </c>
      <c r="L181" s="5" t="n">
        <f aca="false">I181*K181</f>
        <v>498.75</v>
      </c>
      <c r="M181" s="5" t="n">
        <v>320</v>
      </c>
      <c r="N181" s="5" t="n">
        <v>315</v>
      </c>
      <c r="O181" s="5" t="n">
        <f aca="false">M181-N181</f>
        <v>5</v>
      </c>
      <c r="P181" s="8" t="n">
        <f aca="false">IFERROR(I181/G181,0)</f>
        <v>1</v>
      </c>
      <c r="Q181" s="8" t="n">
        <f aca="false">IFERROR(M181/L181,0)</f>
        <v>0.641604010025063</v>
      </c>
      <c r="R181" s="8" t="n">
        <f aca="false">IFERROR(N181/M181,0)</f>
        <v>0.984375</v>
      </c>
      <c r="S181" s="8" t="n">
        <f aca="false">P181*Q181*R181</f>
        <v>0.631578947368421</v>
      </c>
    </row>
    <row r="182" customFormat="false" ht="15" hidden="false" customHeight="false" outlineLevel="0" collapsed="false">
      <c r="A182" s="4" t="n">
        <v>46092</v>
      </c>
      <c r="B182" s="5" t="n">
        <f aca="false">MONTH($A182)</f>
        <v>3</v>
      </c>
      <c r="C182" s="5" t="n">
        <v>3</v>
      </c>
      <c r="D182" s="6" t="str">
        <f aca="false">INDEX(Parametros!$B$16:$B$18,MATCH($C182,Parametros!$A$16:$A$18,0))</f>
        <v>E3 - Sellado y etiquetado</v>
      </c>
      <c r="E182" s="7" t="n">
        <f aca="false">IF(WEEKDAY($A182,2)&lt;6,Parametros!$B$21,Parametros!$B$22)</f>
        <v>6</v>
      </c>
      <c r="F182" s="7" t="n">
        <v>0.25</v>
      </c>
      <c r="G182" s="7" t="n">
        <f aca="false">E182-F182</f>
        <v>5.75</v>
      </c>
      <c r="H182" s="7" t="n">
        <v>0.25</v>
      </c>
      <c r="I182" s="7" t="n">
        <f aca="false">G182-H182</f>
        <v>5.5</v>
      </c>
      <c r="J182" s="6" t="s">
        <v>26</v>
      </c>
      <c r="K182" s="5" t="n">
        <f aca="false">INDEX(Parametros!$C$16:$C$18,MATCH($C182,Parametros!$A$16:$A$18,0))</f>
        <v>95</v>
      </c>
      <c r="L182" s="5" t="n">
        <f aca="false">I182*K182</f>
        <v>522.5</v>
      </c>
      <c r="M182" s="5" t="n">
        <v>315</v>
      </c>
      <c r="N182" s="5" t="n">
        <v>312</v>
      </c>
      <c r="O182" s="5" t="n">
        <f aca="false">M182-N182</f>
        <v>3</v>
      </c>
      <c r="P182" s="8" t="n">
        <f aca="false">IFERROR(I182/G182,0)</f>
        <v>0.956521739130435</v>
      </c>
      <c r="Q182" s="8" t="n">
        <f aca="false">IFERROR(M182/L182,0)</f>
        <v>0.602870813397129</v>
      </c>
      <c r="R182" s="8" t="n">
        <f aca="false">IFERROR(N182/M182,0)</f>
        <v>0.990476190476191</v>
      </c>
      <c r="S182" s="8" t="n">
        <f aca="false">P182*Q182*R182</f>
        <v>0.57116704805492</v>
      </c>
    </row>
    <row r="183" customFormat="false" ht="15" hidden="false" customHeight="false" outlineLevel="0" collapsed="false">
      <c r="A183" s="4" t="n">
        <v>46093</v>
      </c>
      <c r="B183" s="5" t="n">
        <f aca="false">MONTH($A183)</f>
        <v>3</v>
      </c>
      <c r="C183" s="5" t="n">
        <v>1</v>
      </c>
      <c r="D183" s="6" t="str">
        <f aca="false">INDEX(Parametros!$B$16:$B$18,MATCH($C183,Parametros!$A$16:$A$18,0))</f>
        <v>E1 - Lavado y sanitizado de bidones</v>
      </c>
      <c r="E183" s="7" t="n">
        <f aca="false">IF(WEEKDAY($A183,2)&lt;6,Parametros!$B$21,Parametros!$B$22)</f>
        <v>6</v>
      </c>
      <c r="F183" s="7" t="n">
        <v>0.5</v>
      </c>
      <c r="G183" s="7" t="n">
        <f aca="false">E183-F183</f>
        <v>5.5</v>
      </c>
      <c r="H183" s="7" t="n">
        <v>0.75</v>
      </c>
      <c r="I183" s="7" t="n">
        <f aca="false">G183-H183</f>
        <v>4.75</v>
      </c>
      <c r="J183" s="6" t="s">
        <v>24</v>
      </c>
      <c r="K183" s="5" t="n">
        <f aca="false">INDEX(Parametros!$C$16:$C$18,MATCH($C183,Parametros!$A$16:$A$18,0))</f>
        <v>100</v>
      </c>
      <c r="L183" s="5" t="n">
        <f aca="false">I183*K183</f>
        <v>475</v>
      </c>
      <c r="M183" s="5" t="n">
        <v>332</v>
      </c>
      <c r="N183" s="5" t="n">
        <v>327</v>
      </c>
      <c r="O183" s="5" t="n">
        <f aca="false">M183-N183</f>
        <v>5</v>
      </c>
      <c r="P183" s="8" t="n">
        <f aca="false">IFERROR(I183/G183,0)</f>
        <v>0.863636363636364</v>
      </c>
      <c r="Q183" s="8" t="n">
        <f aca="false">IFERROR(M183/L183,0)</f>
        <v>0.698947368421053</v>
      </c>
      <c r="R183" s="8" t="n">
        <f aca="false">IFERROR(N183/M183,0)</f>
        <v>0.984939759036145</v>
      </c>
      <c r="S183" s="8" t="n">
        <f aca="false">P183*Q183*R183</f>
        <v>0.594545454545455</v>
      </c>
    </row>
    <row r="184" customFormat="false" ht="15" hidden="false" customHeight="false" outlineLevel="0" collapsed="false">
      <c r="A184" s="4" t="n">
        <v>46093</v>
      </c>
      <c r="B184" s="5" t="n">
        <f aca="false">MONTH($A184)</f>
        <v>3</v>
      </c>
      <c r="C184" s="5" t="n">
        <v>2</v>
      </c>
      <c r="D184" s="6" t="str">
        <f aca="false">INDEX(Parametros!$B$16:$B$18,MATCH($C184,Parametros!$A$16:$A$18,0))</f>
        <v>E2 - Llenado y tapado</v>
      </c>
      <c r="E184" s="7" t="n">
        <f aca="false">IF(WEEKDAY($A184,2)&lt;6,Parametros!$B$21,Parametros!$B$22)</f>
        <v>6</v>
      </c>
      <c r="F184" s="7" t="n">
        <v>0.75</v>
      </c>
      <c r="G184" s="7" t="n">
        <f aca="false">E184-F184</f>
        <v>5.25</v>
      </c>
      <c r="H184" s="7" t="n">
        <v>0.25</v>
      </c>
      <c r="I184" s="7" t="n">
        <f aca="false">G184-H184</f>
        <v>5</v>
      </c>
      <c r="J184" s="6" t="s">
        <v>23</v>
      </c>
      <c r="K184" s="5" t="n">
        <f aca="false">INDEX(Parametros!$C$16:$C$18,MATCH($C184,Parametros!$A$16:$A$18,0))</f>
        <v>95</v>
      </c>
      <c r="L184" s="5" t="n">
        <f aca="false">I184*K184</f>
        <v>475</v>
      </c>
      <c r="M184" s="5" t="n">
        <v>327</v>
      </c>
      <c r="N184" s="5" t="n">
        <v>319</v>
      </c>
      <c r="O184" s="5" t="n">
        <f aca="false">M184-N184</f>
        <v>8</v>
      </c>
      <c r="P184" s="8" t="n">
        <f aca="false">IFERROR(I184/G184,0)</f>
        <v>0.952380952380952</v>
      </c>
      <c r="Q184" s="8" t="n">
        <f aca="false">IFERROR(M184/L184,0)</f>
        <v>0.688421052631579</v>
      </c>
      <c r="R184" s="8" t="n">
        <f aca="false">IFERROR(N184/M184,0)</f>
        <v>0.975535168195719</v>
      </c>
      <c r="S184" s="8" t="n">
        <f aca="false">P184*Q184*R184</f>
        <v>0.639598997493734</v>
      </c>
    </row>
    <row r="185" customFormat="false" ht="15" hidden="false" customHeight="false" outlineLevel="0" collapsed="false">
      <c r="A185" s="4" t="n">
        <v>46093</v>
      </c>
      <c r="B185" s="5" t="n">
        <f aca="false">MONTH($A185)</f>
        <v>3</v>
      </c>
      <c r="C185" s="5" t="n">
        <v>3</v>
      </c>
      <c r="D185" s="6" t="str">
        <f aca="false">INDEX(Parametros!$B$16:$B$18,MATCH($C185,Parametros!$A$16:$A$18,0))</f>
        <v>E3 - Sellado y etiquetado</v>
      </c>
      <c r="E185" s="7" t="n">
        <f aca="false">IF(WEEKDAY($A185,2)&lt;6,Parametros!$B$21,Parametros!$B$22)</f>
        <v>6</v>
      </c>
      <c r="F185" s="7" t="n">
        <v>0.25</v>
      </c>
      <c r="G185" s="7" t="n">
        <f aca="false">E185-F185</f>
        <v>5.75</v>
      </c>
      <c r="H185" s="7" t="n">
        <v>0.5</v>
      </c>
      <c r="I185" s="7" t="n">
        <f aca="false">G185-H185</f>
        <v>5.25</v>
      </c>
      <c r="J185" s="6" t="s">
        <v>30</v>
      </c>
      <c r="K185" s="5" t="n">
        <f aca="false">INDEX(Parametros!$C$16:$C$18,MATCH($C185,Parametros!$A$16:$A$18,0))</f>
        <v>95</v>
      </c>
      <c r="L185" s="5" t="n">
        <f aca="false">I185*K185</f>
        <v>498.75</v>
      </c>
      <c r="M185" s="5" t="n">
        <v>319</v>
      </c>
      <c r="N185" s="5" t="n">
        <v>316</v>
      </c>
      <c r="O185" s="5" t="n">
        <f aca="false">M185-N185</f>
        <v>3</v>
      </c>
      <c r="P185" s="8" t="n">
        <f aca="false">IFERROR(I185/G185,0)</f>
        <v>0.91304347826087</v>
      </c>
      <c r="Q185" s="8" t="n">
        <f aca="false">IFERROR(M185/L185,0)</f>
        <v>0.639598997493734</v>
      </c>
      <c r="R185" s="8" t="n">
        <f aca="false">IFERROR(N185/M185,0)</f>
        <v>0.990595611285266</v>
      </c>
      <c r="S185" s="8" t="n">
        <f aca="false">P185*Q185*R185</f>
        <v>0.578489702517163</v>
      </c>
    </row>
    <row r="186" customFormat="false" ht="15" hidden="false" customHeight="false" outlineLevel="0" collapsed="false">
      <c r="A186" s="4" t="n">
        <v>46094</v>
      </c>
      <c r="B186" s="5" t="n">
        <f aca="false">MONTH($A186)</f>
        <v>3</v>
      </c>
      <c r="C186" s="5" t="n">
        <v>1</v>
      </c>
      <c r="D186" s="6" t="str">
        <f aca="false">INDEX(Parametros!$B$16:$B$18,MATCH($C186,Parametros!$A$16:$A$18,0))</f>
        <v>E1 - Lavado y sanitizado de bidones</v>
      </c>
      <c r="E186" s="7" t="n">
        <f aca="false">IF(WEEKDAY($A186,2)&lt;6,Parametros!$B$21,Parametros!$B$22)</f>
        <v>6</v>
      </c>
      <c r="F186" s="7" t="n">
        <v>0.5</v>
      </c>
      <c r="G186" s="7" t="n">
        <f aca="false">E186-F186</f>
        <v>5.5</v>
      </c>
      <c r="H186" s="7" t="n">
        <v>0</v>
      </c>
      <c r="I186" s="7" t="n">
        <f aca="false">G186-H186</f>
        <v>5.5</v>
      </c>
      <c r="J186" s="6" t="s">
        <v>27</v>
      </c>
      <c r="K186" s="5" t="n">
        <f aca="false">INDEX(Parametros!$C$16:$C$18,MATCH($C186,Parametros!$A$16:$A$18,0))</f>
        <v>100</v>
      </c>
      <c r="L186" s="5" t="n">
        <f aca="false">I186*K186</f>
        <v>550</v>
      </c>
      <c r="M186" s="5" t="n">
        <v>335</v>
      </c>
      <c r="N186" s="5" t="n">
        <v>331</v>
      </c>
      <c r="O186" s="5" t="n">
        <f aca="false">M186-N186</f>
        <v>4</v>
      </c>
      <c r="P186" s="8" t="n">
        <f aca="false">IFERROR(I186/G186,0)</f>
        <v>1</v>
      </c>
      <c r="Q186" s="8" t="n">
        <f aca="false">IFERROR(M186/L186,0)</f>
        <v>0.609090909090909</v>
      </c>
      <c r="R186" s="8" t="n">
        <f aca="false">IFERROR(N186/M186,0)</f>
        <v>0.988059701492537</v>
      </c>
      <c r="S186" s="8" t="n">
        <f aca="false">P186*Q186*R186</f>
        <v>0.601818181818182</v>
      </c>
    </row>
    <row r="187" customFormat="false" ht="15" hidden="false" customHeight="false" outlineLevel="0" collapsed="false">
      <c r="A187" s="4" t="n">
        <v>46094</v>
      </c>
      <c r="B187" s="5" t="n">
        <f aca="false">MONTH($A187)</f>
        <v>3</v>
      </c>
      <c r="C187" s="5" t="n">
        <v>2</v>
      </c>
      <c r="D187" s="6" t="str">
        <f aca="false">INDEX(Parametros!$B$16:$B$18,MATCH($C187,Parametros!$A$16:$A$18,0))</f>
        <v>E2 - Llenado y tapado</v>
      </c>
      <c r="E187" s="7" t="n">
        <f aca="false">IF(WEEKDAY($A187,2)&lt;6,Parametros!$B$21,Parametros!$B$22)</f>
        <v>6</v>
      </c>
      <c r="F187" s="7" t="n">
        <v>0.75</v>
      </c>
      <c r="G187" s="7" t="n">
        <f aca="false">E187-F187</f>
        <v>5.25</v>
      </c>
      <c r="H187" s="7" t="n">
        <v>1</v>
      </c>
      <c r="I187" s="7" t="n">
        <f aca="false">G187-H187</f>
        <v>4.25</v>
      </c>
      <c r="J187" s="6" t="s">
        <v>26</v>
      </c>
      <c r="K187" s="5" t="n">
        <f aca="false">INDEX(Parametros!$C$16:$C$18,MATCH($C187,Parametros!$A$16:$A$18,0))</f>
        <v>95</v>
      </c>
      <c r="L187" s="5" t="n">
        <f aca="false">I187*K187</f>
        <v>403.75</v>
      </c>
      <c r="M187" s="5" t="n">
        <v>331</v>
      </c>
      <c r="N187" s="5" t="n">
        <v>328</v>
      </c>
      <c r="O187" s="5" t="n">
        <f aca="false">M187-N187</f>
        <v>3</v>
      </c>
      <c r="P187" s="8" t="n">
        <f aca="false">IFERROR(I187/G187,0)</f>
        <v>0.80952380952381</v>
      </c>
      <c r="Q187" s="8" t="n">
        <f aca="false">IFERROR(M187/L187,0)</f>
        <v>0.819814241486068</v>
      </c>
      <c r="R187" s="8" t="n">
        <f aca="false">IFERROR(N187/M187,0)</f>
        <v>0.990936555891239</v>
      </c>
      <c r="S187" s="8" t="n">
        <f aca="false">P187*Q187*R187</f>
        <v>0.657644110275689</v>
      </c>
    </row>
    <row r="188" customFormat="false" ht="15" hidden="false" customHeight="false" outlineLevel="0" collapsed="false">
      <c r="A188" s="4" t="n">
        <v>46094</v>
      </c>
      <c r="B188" s="5" t="n">
        <f aca="false">MONTH($A188)</f>
        <v>3</v>
      </c>
      <c r="C188" s="5" t="n">
        <v>3</v>
      </c>
      <c r="D188" s="6" t="str">
        <f aca="false">INDEX(Parametros!$B$16:$B$18,MATCH($C188,Parametros!$A$16:$A$18,0))</f>
        <v>E3 - Sellado y etiquetado</v>
      </c>
      <c r="E188" s="7" t="n">
        <f aca="false">IF(WEEKDAY($A188,2)&lt;6,Parametros!$B$21,Parametros!$B$22)</f>
        <v>6</v>
      </c>
      <c r="F188" s="7" t="n">
        <v>0.25</v>
      </c>
      <c r="G188" s="7" t="n">
        <f aca="false">E188-F188</f>
        <v>5.75</v>
      </c>
      <c r="H188" s="7" t="n">
        <v>0</v>
      </c>
      <c r="I188" s="7" t="n">
        <f aca="false">G188-H188</f>
        <v>5.75</v>
      </c>
      <c r="J188" s="6" t="s">
        <v>27</v>
      </c>
      <c r="K188" s="5" t="n">
        <f aca="false">INDEX(Parametros!$C$16:$C$18,MATCH($C188,Parametros!$A$16:$A$18,0))</f>
        <v>95</v>
      </c>
      <c r="L188" s="5" t="n">
        <f aca="false">I188*K188</f>
        <v>546.25</v>
      </c>
      <c r="M188" s="5" t="n">
        <v>328</v>
      </c>
      <c r="N188" s="5" t="n">
        <v>326</v>
      </c>
      <c r="O188" s="5" t="n">
        <f aca="false">M188-N188</f>
        <v>2</v>
      </c>
      <c r="P188" s="8" t="n">
        <f aca="false">IFERROR(I188/G188,0)</f>
        <v>1</v>
      </c>
      <c r="Q188" s="8" t="n">
        <f aca="false">IFERROR(M188/L188,0)</f>
        <v>0.60045766590389</v>
      </c>
      <c r="R188" s="8" t="n">
        <f aca="false">IFERROR(N188/M188,0)</f>
        <v>0.99390243902439</v>
      </c>
      <c r="S188" s="8" t="n">
        <f aca="false">P188*Q188*R188</f>
        <v>0.596796338672769</v>
      </c>
    </row>
    <row r="189" customFormat="false" ht="15" hidden="false" customHeight="false" outlineLevel="0" collapsed="false">
      <c r="A189" s="4" t="n">
        <v>46095</v>
      </c>
      <c r="B189" s="5" t="n">
        <f aca="false">MONTH($A189)</f>
        <v>3</v>
      </c>
      <c r="C189" s="5" t="n">
        <v>1</v>
      </c>
      <c r="D189" s="6" t="str">
        <f aca="false">INDEX(Parametros!$B$16:$B$18,MATCH($C189,Parametros!$A$16:$A$18,0))</f>
        <v>E1 - Lavado y sanitizado de bidones</v>
      </c>
      <c r="E189" s="7" t="n">
        <f aca="false">IF(WEEKDAY($A189,2)&lt;6,Parametros!$B$21,Parametros!$B$22)</f>
        <v>4</v>
      </c>
      <c r="F189" s="7" t="n">
        <v>0.75</v>
      </c>
      <c r="G189" s="7" t="n">
        <f aca="false">E189-F189</f>
        <v>3.25</v>
      </c>
      <c r="H189" s="7" t="n">
        <v>1.5</v>
      </c>
      <c r="I189" s="7" t="n">
        <f aca="false">G189-H189</f>
        <v>1.75</v>
      </c>
      <c r="J189" s="6" t="s">
        <v>29</v>
      </c>
      <c r="K189" s="5" t="n">
        <f aca="false">INDEX(Parametros!$C$16:$C$18,MATCH($C189,Parametros!$A$16:$A$18,0))</f>
        <v>100</v>
      </c>
      <c r="L189" s="5" t="n">
        <f aca="false">I189*K189</f>
        <v>175</v>
      </c>
      <c r="M189" s="5" t="n">
        <v>77</v>
      </c>
      <c r="N189" s="5" t="n">
        <v>76</v>
      </c>
      <c r="O189" s="5" t="n">
        <f aca="false">M189-N189</f>
        <v>1</v>
      </c>
      <c r="P189" s="8" t="n">
        <f aca="false">IFERROR(I189/G189,0)</f>
        <v>0.538461538461538</v>
      </c>
      <c r="Q189" s="8" t="n">
        <f aca="false">IFERROR(M189/L189,0)</f>
        <v>0.44</v>
      </c>
      <c r="R189" s="8" t="n">
        <f aca="false">IFERROR(N189/M189,0)</f>
        <v>0.987012987012987</v>
      </c>
      <c r="S189" s="8" t="n">
        <f aca="false">P189*Q189*R189</f>
        <v>0.233846153846154</v>
      </c>
    </row>
    <row r="190" customFormat="false" ht="15" hidden="false" customHeight="false" outlineLevel="0" collapsed="false">
      <c r="A190" s="4" t="n">
        <v>46095</v>
      </c>
      <c r="B190" s="5" t="n">
        <f aca="false">MONTH($A190)</f>
        <v>3</v>
      </c>
      <c r="C190" s="5" t="n">
        <v>2</v>
      </c>
      <c r="D190" s="6" t="str">
        <f aca="false">INDEX(Parametros!$B$16:$B$18,MATCH($C190,Parametros!$A$16:$A$18,0))</f>
        <v>E2 - Llenado y tapado</v>
      </c>
      <c r="E190" s="7" t="n">
        <f aca="false">IF(WEEKDAY($A190,2)&lt;6,Parametros!$B$21,Parametros!$B$22)</f>
        <v>4</v>
      </c>
      <c r="F190" s="7" t="n">
        <v>1</v>
      </c>
      <c r="G190" s="7" t="n">
        <f aca="false">E190-F190</f>
        <v>3</v>
      </c>
      <c r="H190" s="7" t="n">
        <v>2</v>
      </c>
      <c r="I190" s="7" t="n">
        <f aca="false">G190-H190</f>
        <v>1</v>
      </c>
      <c r="J190" s="6" t="s">
        <v>28</v>
      </c>
      <c r="K190" s="5" t="n">
        <f aca="false">INDEX(Parametros!$C$16:$C$18,MATCH($C190,Parametros!$A$16:$A$18,0))</f>
        <v>95</v>
      </c>
      <c r="L190" s="5" t="n">
        <f aca="false">I190*K190</f>
        <v>95</v>
      </c>
      <c r="M190" s="5" t="n">
        <v>76</v>
      </c>
      <c r="N190" s="5" t="n">
        <v>75</v>
      </c>
      <c r="O190" s="5" t="n">
        <f aca="false">M190-N190</f>
        <v>1</v>
      </c>
      <c r="P190" s="8" t="n">
        <f aca="false">IFERROR(I190/G190,0)</f>
        <v>0.333333333333333</v>
      </c>
      <c r="Q190" s="8" t="n">
        <f aca="false">IFERROR(M190/L190,0)</f>
        <v>0.8</v>
      </c>
      <c r="R190" s="8" t="n">
        <f aca="false">IFERROR(N190/M190,0)</f>
        <v>0.986842105263158</v>
      </c>
      <c r="S190" s="8" t="n">
        <f aca="false">P190*Q190*R190</f>
        <v>0.263157894736842</v>
      </c>
    </row>
    <row r="191" customFormat="false" ht="15" hidden="false" customHeight="false" outlineLevel="0" collapsed="false">
      <c r="A191" s="4" t="n">
        <v>46095</v>
      </c>
      <c r="B191" s="5" t="n">
        <f aca="false">MONTH($A191)</f>
        <v>3</v>
      </c>
      <c r="C191" s="5" t="n">
        <v>3</v>
      </c>
      <c r="D191" s="6" t="str">
        <f aca="false">INDEX(Parametros!$B$16:$B$18,MATCH($C191,Parametros!$A$16:$A$18,0))</f>
        <v>E3 - Sellado y etiquetado</v>
      </c>
      <c r="E191" s="7" t="n">
        <f aca="false">IF(WEEKDAY($A191,2)&lt;6,Parametros!$B$21,Parametros!$B$22)</f>
        <v>4</v>
      </c>
      <c r="F191" s="7" t="n">
        <v>0.5</v>
      </c>
      <c r="G191" s="7" t="n">
        <f aca="false">E191-F191</f>
        <v>3.5</v>
      </c>
      <c r="H191" s="7" t="n">
        <v>1.75</v>
      </c>
      <c r="I191" s="7" t="n">
        <f aca="false">G191-H191</f>
        <v>1.75</v>
      </c>
      <c r="J191" s="6" t="s">
        <v>23</v>
      </c>
      <c r="K191" s="5" t="n">
        <f aca="false">INDEX(Parametros!$C$16:$C$18,MATCH($C191,Parametros!$A$16:$A$18,0))</f>
        <v>95</v>
      </c>
      <c r="L191" s="5" t="n">
        <f aca="false">I191*K191</f>
        <v>166.25</v>
      </c>
      <c r="M191" s="5" t="n">
        <v>75</v>
      </c>
      <c r="N191" s="5" t="n">
        <v>74</v>
      </c>
      <c r="O191" s="5" t="n">
        <f aca="false">M191-N191</f>
        <v>1</v>
      </c>
      <c r="P191" s="8" t="n">
        <f aca="false">IFERROR(I191/G191,0)</f>
        <v>0.5</v>
      </c>
      <c r="Q191" s="8" t="n">
        <f aca="false">IFERROR(M191/L191,0)</f>
        <v>0.451127819548872</v>
      </c>
      <c r="R191" s="8" t="n">
        <f aca="false">IFERROR(N191/M191,0)</f>
        <v>0.986666666666667</v>
      </c>
      <c r="S191" s="8" t="n">
        <f aca="false">P191*Q191*R191</f>
        <v>0.222556390977444</v>
      </c>
    </row>
    <row r="192" customFormat="false" ht="15" hidden="false" customHeight="false" outlineLevel="0" collapsed="false">
      <c r="A192" s="4" t="n">
        <v>46097</v>
      </c>
      <c r="B192" s="5" t="n">
        <f aca="false">MONTH($A192)</f>
        <v>3</v>
      </c>
      <c r="C192" s="5" t="n">
        <v>1</v>
      </c>
      <c r="D192" s="6" t="str">
        <f aca="false">INDEX(Parametros!$B$16:$B$18,MATCH($C192,Parametros!$A$16:$A$18,0))</f>
        <v>E1 - Lavado y sanitizado de bidones</v>
      </c>
      <c r="E192" s="7" t="n">
        <f aca="false">IF(WEEKDAY($A192,2)&lt;6,Parametros!$B$21,Parametros!$B$22)</f>
        <v>6</v>
      </c>
      <c r="F192" s="7" t="n">
        <v>0.5</v>
      </c>
      <c r="G192" s="7" t="n">
        <f aca="false">E192-F192</f>
        <v>5.5</v>
      </c>
      <c r="H192" s="7" t="n">
        <v>0</v>
      </c>
      <c r="I192" s="7" t="n">
        <f aca="false">G192-H192</f>
        <v>5.5</v>
      </c>
      <c r="J192" s="6" t="s">
        <v>27</v>
      </c>
      <c r="K192" s="5" t="n">
        <f aca="false">INDEX(Parametros!$C$16:$C$18,MATCH($C192,Parametros!$A$16:$A$18,0))</f>
        <v>100</v>
      </c>
      <c r="L192" s="5" t="n">
        <f aca="false">I192*K192</f>
        <v>550</v>
      </c>
      <c r="M192" s="5" t="n">
        <v>345</v>
      </c>
      <c r="N192" s="5" t="n">
        <v>340</v>
      </c>
      <c r="O192" s="5" t="n">
        <f aca="false">M192-N192</f>
        <v>5</v>
      </c>
      <c r="P192" s="8" t="n">
        <f aca="false">IFERROR(I192/G192,0)</f>
        <v>1</v>
      </c>
      <c r="Q192" s="8" t="n">
        <f aca="false">IFERROR(M192/L192,0)</f>
        <v>0.627272727272727</v>
      </c>
      <c r="R192" s="8" t="n">
        <f aca="false">IFERROR(N192/M192,0)</f>
        <v>0.985507246376812</v>
      </c>
      <c r="S192" s="8" t="n">
        <f aca="false">P192*Q192*R192</f>
        <v>0.618181818181818</v>
      </c>
    </row>
    <row r="193" customFormat="false" ht="15" hidden="false" customHeight="false" outlineLevel="0" collapsed="false">
      <c r="A193" s="4" t="n">
        <v>46097</v>
      </c>
      <c r="B193" s="5" t="n">
        <f aca="false">MONTH($A193)</f>
        <v>3</v>
      </c>
      <c r="C193" s="5" t="n">
        <v>2</v>
      </c>
      <c r="D193" s="6" t="str">
        <f aca="false">INDEX(Parametros!$B$16:$B$18,MATCH($C193,Parametros!$A$16:$A$18,0))</f>
        <v>E2 - Llenado y tapado</v>
      </c>
      <c r="E193" s="7" t="n">
        <f aca="false">IF(WEEKDAY($A193,2)&lt;6,Parametros!$B$21,Parametros!$B$22)</f>
        <v>6</v>
      </c>
      <c r="F193" s="7" t="n">
        <v>0.75</v>
      </c>
      <c r="G193" s="7" t="n">
        <f aca="false">E193-F193</f>
        <v>5.25</v>
      </c>
      <c r="H193" s="7" t="n">
        <v>0.25</v>
      </c>
      <c r="I193" s="7" t="n">
        <f aca="false">G193-H193</f>
        <v>5</v>
      </c>
      <c r="J193" s="6" t="s">
        <v>28</v>
      </c>
      <c r="K193" s="5" t="n">
        <f aca="false">INDEX(Parametros!$C$16:$C$18,MATCH($C193,Parametros!$A$16:$A$18,0))</f>
        <v>95</v>
      </c>
      <c r="L193" s="5" t="n">
        <f aca="false">I193*K193</f>
        <v>475</v>
      </c>
      <c r="M193" s="5" t="n">
        <v>340</v>
      </c>
      <c r="N193" s="5" t="n">
        <v>337</v>
      </c>
      <c r="O193" s="5" t="n">
        <f aca="false">M193-N193</f>
        <v>3</v>
      </c>
      <c r="P193" s="8" t="n">
        <f aca="false">IFERROR(I193/G193,0)</f>
        <v>0.952380952380952</v>
      </c>
      <c r="Q193" s="8" t="n">
        <f aca="false">IFERROR(M193/L193,0)</f>
        <v>0.715789473684211</v>
      </c>
      <c r="R193" s="8" t="n">
        <f aca="false">IFERROR(N193/M193,0)</f>
        <v>0.991176470588235</v>
      </c>
      <c r="S193" s="8" t="n">
        <f aca="false">P193*Q193*R193</f>
        <v>0.675689223057644</v>
      </c>
    </row>
    <row r="194" customFormat="false" ht="15" hidden="false" customHeight="false" outlineLevel="0" collapsed="false">
      <c r="A194" s="4" t="n">
        <v>46097</v>
      </c>
      <c r="B194" s="5" t="n">
        <f aca="false">MONTH($A194)</f>
        <v>3</v>
      </c>
      <c r="C194" s="5" t="n">
        <v>3</v>
      </c>
      <c r="D194" s="6" t="str">
        <f aca="false">INDEX(Parametros!$B$16:$B$18,MATCH($C194,Parametros!$A$16:$A$18,0))</f>
        <v>E3 - Sellado y etiquetado</v>
      </c>
      <c r="E194" s="7" t="n">
        <f aca="false">IF(WEEKDAY($A194,2)&lt;6,Parametros!$B$21,Parametros!$B$22)</f>
        <v>6</v>
      </c>
      <c r="F194" s="7" t="n">
        <v>0.25</v>
      </c>
      <c r="G194" s="7" t="n">
        <f aca="false">E194-F194</f>
        <v>5.75</v>
      </c>
      <c r="H194" s="7" t="n">
        <v>0</v>
      </c>
      <c r="I194" s="7" t="n">
        <f aca="false">G194-H194</f>
        <v>5.75</v>
      </c>
      <c r="J194" s="6" t="s">
        <v>27</v>
      </c>
      <c r="K194" s="5" t="n">
        <f aca="false">INDEX(Parametros!$C$16:$C$18,MATCH($C194,Parametros!$A$16:$A$18,0))</f>
        <v>95</v>
      </c>
      <c r="L194" s="5" t="n">
        <f aca="false">I194*K194</f>
        <v>546.25</v>
      </c>
      <c r="M194" s="5" t="n">
        <v>337</v>
      </c>
      <c r="N194" s="5" t="n">
        <v>333</v>
      </c>
      <c r="O194" s="5" t="n">
        <f aca="false">M194-N194</f>
        <v>4</v>
      </c>
      <c r="P194" s="8" t="n">
        <f aca="false">IFERROR(I194/G194,0)</f>
        <v>1</v>
      </c>
      <c r="Q194" s="8" t="n">
        <f aca="false">IFERROR(M194/L194,0)</f>
        <v>0.616933638443936</v>
      </c>
      <c r="R194" s="8" t="n">
        <f aca="false">IFERROR(N194/M194,0)</f>
        <v>0.98813056379822</v>
      </c>
      <c r="S194" s="8" t="n">
        <f aca="false">P194*Q194*R194</f>
        <v>0.609610983981693</v>
      </c>
    </row>
    <row r="195" customFormat="false" ht="15" hidden="false" customHeight="false" outlineLevel="0" collapsed="false">
      <c r="A195" s="4" t="n">
        <v>46098</v>
      </c>
      <c r="B195" s="5" t="n">
        <f aca="false">MONTH($A195)</f>
        <v>3</v>
      </c>
      <c r="C195" s="5" t="n">
        <v>1</v>
      </c>
      <c r="D195" s="6" t="str">
        <f aca="false">INDEX(Parametros!$B$16:$B$18,MATCH($C195,Parametros!$A$16:$A$18,0))</f>
        <v>E1 - Lavado y sanitizado de bidones</v>
      </c>
      <c r="E195" s="7" t="n">
        <f aca="false">IF(WEEKDAY($A195,2)&lt;6,Parametros!$B$21,Parametros!$B$22)</f>
        <v>6</v>
      </c>
      <c r="F195" s="7" t="n">
        <v>0.5</v>
      </c>
      <c r="G195" s="7" t="n">
        <f aca="false">E195-F195</f>
        <v>5.5</v>
      </c>
      <c r="H195" s="7" t="n">
        <v>0.75</v>
      </c>
      <c r="I195" s="7" t="n">
        <f aca="false">G195-H195</f>
        <v>4.75</v>
      </c>
      <c r="J195" s="6" t="s">
        <v>22</v>
      </c>
      <c r="K195" s="5" t="n">
        <f aca="false">INDEX(Parametros!$C$16:$C$18,MATCH($C195,Parametros!$A$16:$A$18,0))</f>
        <v>100</v>
      </c>
      <c r="L195" s="5" t="n">
        <f aca="false">I195*K195</f>
        <v>475</v>
      </c>
      <c r="M195" s="5" t="n">
        <v>360</v>
      </c>
      <c r="N195" s="5" t="n">
        <v>356</v>
      </c>
      <c r="O195" s="5" t="n">
        <f aca="false">M195-N195</f>
        <v>4</v>
      </c>
      <c r="P195" s="8" t="n">
        <f aca="false">IFERROR(I195/G195,0)</f>
        <v>0.863636363636364</v>
      </c>
      <c r="Q195" s="8" t="n">
        <f aca="false">IFERROR(M195/L195,0)</f>
        <v>0.757894736842105</v>
      </c>
      <c r="R195" s="8" t="n">
        <f aca="false">IFERROR(N195/M195,0)</f>
        <v>0.988888888888889</v>
      </c>
      <c r="S195" s="8" t="n">
        <f aca="false">P195*Q195*R195</f>
        <v>0.647272727272727</v>
      </c>
    </row>
    <row r="196" customFormat="false" ht="15" hidden="false" customHeight="false" outlineLevel="0" collapsed="false">
      <c r="A196" s="4" t="n">
        <v>46098</v>
      </c>
      <c r="B196" s="5" t="n">
        <f aca="false">MONTH($A196)</f>
        <v>3</v>
      </c>
      <c r="C196" s="5" t="n">
        <v>2</v>
      </c>
      <c r="D196" s="6" t="str">
        <f aca="false">INDEX(Parametros!$B$16:$B$18,MATCH($C196,Parametros!$A$16:$A$18,0))</f>
        <v>E2 - Llenado y tapado</v>
      </c>
      <c r="E196" s="7" t="n">
        <f aca="false">IF(WEEKDAY($A196,2)&lt;6,Parametros!$B$21,Parametros!$B$22)</f>
        <v>6</v>
      </c>
      <c r="F196" s="7" t="n">
        <v>0.75</v>
      </c>
      <c r="G196" s="7" t="n">
        <f aca="false">E196-F196</f>
        <v>5.25</v>
      </c>
      <c r="H196" s="7" t="n">
        <v>1</v>
      </c>
      <c r="I196" s="7" t="n">
        <f aca="false">G196-H196</f>
        <v>4.25</v>
      </c>
      <c r="J196" s="6" t="s">
        <v>30</v>
      </c>
      <c r="K196" s="5" t="n">
        <f aca="false">INDEX(Parametros!$C$16:$C$18,MATCH($C196,Parametros!$A$16:$A$18,0))</f>
        <v>95</v>
      </c>
      <c r="L196" s="5" t="n">
        <f aca="false">I196*K196</f>
        <v>403.75</v>
      </c>
      <c r="M196" s="5" t="n">
        <v>356</v>
      </c>
      <c r="N196" s="5" t="n">
        <v>350</v>
      </c>
      <c r="O196" s="5" t="n">
        <f aca="false">M196-N196</f>
        <v>6</v>
      </c>
      <c r="P196" s="8" t="n">
        <f aca="false">IFERROR(I196/G196,0)</f>
        <v>0.80952380952381</v>
      </c>
      <c r="Q196" s="8" t="n">
        <f aca="false">IFERROR(M196/L196,0)</f>
        <v>0.881733746130031</v>
      </c>
      <c r="R196" s="8" t="n">
        <f aca="false">IFERROR(N196/M196,0)</f>
        <v>0.98314606741573</v>
      </c>
      <c r="S196" s="8" t="n">
        <f aca="false">P196*Q196*R196</f>
        <v>0.701754385964912</v>
      </c>
    </row>
    <row r="197" customFormat="false" ht="15" hidden="false" customHeight="false" outlineLevel="0" collapsed="false">
      <c r="A197" s="4" t="n">
        <v>46098</v>
      </c>
      <c r="B197" s="5" t="n">
        <f aca="false">MONTH($A197)</f>
        <v>3</v>
      </c>
      <c r="C197" s="5" t="n">
        <v>3</v>
      </c>
      <c r="D197" s="6" t="str">
        <f aca="false">INDEX(Parametros!$B$16:$B$18,MATCH($C197,Parametros!$A$16:$A$18,0))</f>
        <v>E3 - Sellado y etiquetado</v>
      </c>
      <c r="E197" s="7" t="n">
        <f aca="false">IF(WEEKDAY($A197,2)&lt;6,Parametros!$B$21,Parametros!$B$22)</f>
        <v>6</v>
      </c>
      <c r="F197" s="7" t="n">
        <v>0.25</v>
      </c>
      <c r="G197" s="7" t="n">
        <f aca="false">E197-F197</f>
        <v>5.75</v>
      </c>
      <c r="H197" s="7" t="n">
        <v>0.25</v>
      </c>
      <c r="I197" s="7" t="n">
        <f aca="false">G197-H197</f>
        <v>5.5</v>
      </c>
      <c r="J197" s="6" t="s">
        <v>30</v>
      </c>
      <c r="K197" s="5" t="n">
        <f aca="false">INDEX(Parametros!$C$16:$C$18,MATCH($C197,Parametros!$A$16:$A$18,0))</f>
        <v>95</v>
      </c>
      <c r="L197" s="5" t="n">
        <f aca="false">I197*K197</f>
        <v>522.5</v>
      </c>
      <c r="M197" s="5" t="n">
        <v>350</v>
      </c>
      <c r="N197" s="5" t="n">
        <v>347</v>
      </c>
      <c r="O197" s="5" t="n">
        <f aca="false">M197-N197</f>
        <v>3</v>
      </c>
      <c r="P197" s="8" t="n">
        <f aca="false">IFERROR(I197/G197,0)</f>
        <v>0.956521739130435</v>
      </c>
      <c r="Q197" s="8" t="n">
        <f aca="false">IFERROR(M197/L197,0)</f>
        <v>0.669856459330144</v>
      </c>
      <c r="R197" s="8" t="n">
        <f aca="false">IFERROR(N197/M197,0)</f>
        <v>0.991428571428571</v>
      </c>
      <c r="S197" s="8" t="n">
        <f aca="false">P197*Q197*R197</f>
        <v>0.635240274599542</v>
      </c>
    </row>
    <row r="198" customFormat="false" ht="15" hidden="false" customHeight="false" outlineLevel="0" collapsed="false">
      <c r="A198" s="4" t="n">
        <v>46099</v>
      </c>
      <c r="B198" s="5" t="n">
        <f aca="false">MONTH($A198)</f>
        <v>3</v>
      </c>
      <c r="C198" s="5" t="n">
        <v>1</v>
      </c>
      <c r="D198" s="6" t="str">
        <f aca="false">INDEX(Parametros!$B$16:$B$18,MATCH($C198,Parametros!$A$16:$A$18,0))</f>
        <v>E1 - Lavado y sanitizado de bidones</v>
      </c>
      <c r="E198" s="7" t="n">
        <f aca="false">IF(WEEKDAY($A198,2)&lt;6,Parametros!$B$21,Parametros!$B$22)</f>
        <v>6</v>
      </c>
      <c r="F198" s="7" t="n">
        <v>0.5</v>
      </c>
      <c r="G198" s="7" t="n">
        <f aca="false">E198-F198</f>
        <v>5.5</v>
      </c>
      <c r="H198" s="7" t="n">
        <v>5.5</v>
      </c>
      <c r="I198" s="7" t="n">
        <f aca="false">G198-H198</f>
        <v>0</v>
      </c>
      <c r="J198" s="6" t="s">
        <v>29</v>
      </c>
      <c r="K198" s="5" t="n">
        <f aca="false">INDEX(Parametros!$C$16:$C$18,MATCH($C198,Parametros!$A$16:$A$18,0))</f>
        <v>100</v>
      </c>
      <c r="L198" s="5" t="n">
        <f aca="false">I198*K198</f>
        <v>0</v>
      </c>
      <c r="M198" s="5" t="n">
        <v>0</v>
      </c>
      <c r="N198" s="5" t="n">
        <v>0</v>
      </c>
      <c r="O198" s="5" t="n">
        <f aca="false">M198-N198</f>
        <v>0</v>
      </c>
      <c r="P198" s="8" t="n">
        <f aca="false">IFERROR(I198/G198,0)</f>
        <v>0</v>
      </c>
      <c r="Q198" s="8" t="n">
        <f aca="false">IFERROR(M198/L198,0)</f>
        <v>0</v>
      </c>
      <c r="R198" s="8" t="n">
        <f aca="false">IFERROR(N198/M198,0)</f>
        <v>0</v>
      </c>
      <c r="S198" s="8" t="n">
        <f aca="false">P198*Q198*R198</f>
        <v>0</v>
      </c>
    </row>
    <row r="199" customFormat="false" ht="15" hidden="false" customHeight="false" outlineLevel="0" collapsed="false">
      <c r="A199" s="4" t="n">
        <v>46099</v>
      </c>
      <c r="B199" s="5" t="n">
        <f aca="false">MONTH($A199)</f>
        <v>3</v>
      </c>
      <c r="C199" s="5" t="n">
        <v>2</v>
      </c>
      <c r="D199" s="6" t="str">
        <f aca="false">INDEX(Parametros!$B$16:$B$18,MATCH($C199,Parametros!$A$16:$A$18,0))</f>
        <v>E2 - Llenado y tapado</v>
      </c>
      <c r="E199" s="7" t="n">
        <f aca="false">IF(WEEKDAY($A199,2)&lt;6,Parametros!$B$21,Parametros!$B$22)</f>
        <v>6</v>
      </c>
      <c r="F199" s="7" t="n">
        <v>0.75</v>
      </c>
      <c r="G199" s="7" t="n">
        <f aca="false">E199-F199</f>
        <v>5.25</v>
      </c>
      <c r="H199" s="7" t="n">
        <v>5.25</v>
      </c>
      <c r="I199" s="7" t="n">
        <f aca="false">G199-H199</f>
        <v>0</v>
      </c>
      <c r="J199" s="6" t="s">
        <v>28</v>
      </c>
      <c r="K199" s="5" t="n">
        <f aca="false">INDEX(Parametros!$C$16:$C$18,MATCH($C199,Parametros!$A$16:$A$18,0))</f>
        <v>95</v>
      </c>
      <c r="L199" s="5" t="n">
        <f aca="false">I199*K199</f>
        <v>0</v>
      </c>
      <c r="M199" s="5" t="n">
        <v>0</v>
      </c>
      <c r="N199" s="5" t="n">
        <v>0</v>
      </c>
      <c r="O199" s="5" t="n">
        <f aca="false">M199-N199</f>
        <v>0</v>
      </c>
      <c r="P199" s="8" t="n">
        <f aca="false">IFERROR(I199/G199,0)</f>
        <v>0</v>
      </c>
      <c r="Q199" s="8" t="n">
        <f aca="false">IFERROR(M199/L199,0)</f>
        <v>0</v>
      </c>
      <c r="R199" s="8" t="n">
        <f aca="false">IFERROR(N199/M199,0)</f>
        <v>0</v>
      </c>
      <c r="S199" s="8" t="n">
        <f aca="false">P199*Q199*R199</f>
        <v>0</v>
      </c>
    </row>
    <row r="200" customFormat="false" ht="15" hidden="false" customHeight="false" outlineLevel="0" collapsed="false">
      <c r="A200" s="4" t="n">
        <v>46099</v>
      </c>
      <c r="B200" s="5" t="n">
        <f aca="false">MONTH($A200)</f>
        <v>3</v>
      </c>
      <c r="C200" s="5" t="n">
        <v>3</v>
      </c>
      <c r="D200" s="6" t="str">
        <f aca="false">INDEX(Parametros!$B$16:$B$18,MATCH($C200,Parametros!$A$16:$A$18,0))</f>
        <v>E3 - Sellado y etiquetado</v>
      </c>
      <c r="E200" s="7" t="n">
        <f aca="false">IF(WEEKDAY($A200,2)&lt;6,Parametros!$B$21,Parametros!$B$22)</f>
        <v>6</v>
      </c>
      <c r="F200" s="7" t="n">
        <v>0.25</v>
      </c>
      <c r="G200" s="7" t="n">
        <f aca="false">E200-F200</f>
        <v>5.75</v>
      </c>
      <c r="H200" s="7" t="n">
        <v>5.75</v>
      </c>
      <c r="I200" s="7" t="n">
        <f aca="false">G200-H200</f>
        <v>0</v>
      </c>
      <c r="J200" s="6" t="s">
        <v>29</v>
      </c>
      <c r="K200" s="5" t="n">
        <f aca="false">INDEX(Parametros!$C$16:$C$18,MATCH($C200,Parametros!$A$16:$A$18,0))</f>
        <v>95</v>
      </c>
      <c r="L200" s="5" t="n">
        <f aca="false">I200*K200</f>
        <v>0</v>
      </c>
      <c r="M200" s="5" t="n">
        <v>0</v>
      </c>
      <c r="N200" s="5" t="n">
        <v>0</v>
      </c>
      <c r="O200" s="5" t="n">
        <f aca="false">M200-N200</f>
        <v>0</v>
      </c>
      <c r="P200" s="8" t="n">
        <f aca="false">IFERROR(I200/G200,0)</f>
        <v>0</v>
      </c>
      <c r="Q200" s="8" t="n">
        <f aca="false">IFERROR(M200/L200,0)</f>
        <v>0</v>
      </c>
      <c r="R200" s="8" t="n">
        <f aca="false">IFERROR(N200/M200,0)</f>
        <v>0</v>
      </c>
      <c r="S200" s="8" t="n">
        <f aca="false">P200*Q200*R200</f>
        <v>0</v>
      </c>
    </row>
    <row r="201" customFormat="false" ht="15" hidden="false" customHeight="false" outlineLevel="0" collapsed="false">
      <c r="A201" s="4" t="n">
        <v>46100</v>
      </c>
      <c r="B201" s="5" t="n">
        <f aca="false">MONTH($A201)</f>
        <v>3</v>
      </c>
      <c r="C201" s="5" t="n">
        <v>1</v>
      </c>
      <c r="D201" s="6" t="str">
        <f aca="false">INDEX(Parametros!$B$16:$B$18,MATCH($C201,Parametros!$A$16:$A$18,0))</f>
        <v>E1 - Lavado y sanitizado de bidones</v>
      </c>
      <c r="E201" s="7" t="n">
        <f aca="false">IF(WEEKDAY($A201,2)&lt;6,Parametros!$B$21,Parametros!$B$22)</f>
        <v>6</v>
      </c>
      <c r="F201" s="7" t="n">
        <v>0.5</v>
      </c>
      <c r="G201" s="7" t="n">
        <f aca="false">E201-F201</f>
        <v>5.5</v>
      </c>
      <c r="H201" s="7" t="n">
        <v>0.5</v>
      </c>
      <c r="I201" s="7" t="n">
        <f aca="false">G201-H201</f>
        <v>5</v>
      </c>
      <c r="J201" s="6" t="s">
        <v>22</v>
      </c>
      <c r="K201" s="5" t="n">
        <f aca="false">INDEX(Parametros!$C$16:$C$18,MATCH($C201,Parametros!$A$16:$A$18,0))</f>
        <v>100</v>
      </c>
      <c r="L201" s="5" t="n">
        <f aca="false">I201*K201</f>
        <v>500</v>
      </c>
      <c r="M201" s="5" t="n">
        <v>334</v>
      </c>
      <c r="N201" s="5" t="n">
        <v>331</v>
      </c>
      <c r="O201" s="5" t="n">
        <f aca="false">M201-N201</f>
        <v>3</v>
      </c>
      <c r="P201" s="8" t="n">
        <f aca="false">IFERROR(I201/G201,0)</f>
        <v>0.909090909090909</v>
      </c>
      <c r="Q201" s="8" t="n">
        <f aca="false">IFERROR(M201/L201,0)</f>
        <v>0.668</v>
      </c>
      <c r="R201" s="8" t="n">
        <f aca="false">IFERROR(N201/M201,0)</f>
        <v>0.991017964071856</v>
      </c>
      <c r="S201" s="8" t="n">
        <f aca="false">P201*Q201*R201</f>
        <v>0.601818181818182</v>
      </c>
    </row>
    <row r="202" customFormat="false" ht="15" hidden="false" customHeight="false" outlineLevel="0" collapsed="false">
      <c r="A202" s="4" t="n">
        <v>46100</v>
      </c>
      <c r="B202" s="5" t="n">
        <f aca="false">MONTH($A202)</f>
        <v>3</v>
      </c>
      <c r="C202" s="5" t="n">
        <v>2</v>
      </c>
      <c r="D202" s="6" t="str">
        <f aca="false">INDEX(Parametros!$B$16:$B$18,MATCH($C202,Parametros!$A$16:$A$18,0))</f>
        <v>E2 - Llenado y tapado</v>
      </c>
      <c r="E202" s="7" t="n">
        <f aca="false">IF(WEEKDAY($A202,2)&lt;6,Parametros!$B$21,Parametros!$B$22)</f>
        <v>6</v>
      </c>
      <c r="F202" s="7" t="n">
        <v>0.75</v>
      </c>
      <c r="G202" s="7" t="n">
        <f aca="false">E202-F202</f>
        <v>5.25</v>
      </c>
      <c r="H202" s="7" t="n">
        <v>0</v>
      </c>
      <c r="I202" s="7" t="n">
        <f aca="false">G202-H202</f>
        <v>5.25</v>
      </c>
      <c r="J202" s="6" t="s">
        <v>27</v>
      </c>
      <c r="K202" s="5" t="n">
        <f aca="false">INDEX(Parametros!$C$16:$C$18,MATCH($C202,Parametros!$A$16:$A$18,0))</f>
        <v>95</v>
      </c>
      <c r="L202" s="5" t="n">
        <f aca="false">I202*K202</f>
        <v>498.75</v>
      </c>
      <c r="M202" s="5" t="n">
        <v>331</v>
      </c>
      <c r="N202" s="5" t="n">
        <v>326</v>
      </c>
      <c r="O202" s="5" t="n">
        <f aca="false">M202-N202</f>
        <v>5</v>
      </c>
      <c r="P202" s="8" t="n">
        <f aca="false">IFERROR(I202/G202,0)</f>
        <v>1</v>
      </c>
      <c r="Q202" s="8" t="n">
        <f aca="false">IFERROR(M202/L202,0)</f>
        <v>0.663659147869674</v>
      </c>
      <c r="R202" s="8" t="n">
        <f aca="false">IFERROR(N202/M202,0)</f>
        <v>0.984894259818731</v>
      </c>
      <c r="S202" s="8" t="n">
        <f aca="false">P202*Q202*R202</f>
        <v>0.653634085213033</v>
      </c>
    </row>
    <row r="203" customFormat="false" ht="15" hidden="false" customHeight="false" outlineLevel="0" collapsed="false">
      <c r="A203" s="4" t="n">
        <v>46100</v>
      </c>
      <c r="B203" s="5" t="n">
        <f aca="false">MONTH($A203)</f>
        <v>3</v>
      </c>
      <c r="C203" s="5" t="n">
        <v>3</v>
      </c>
      <c r="D203" s="6" t="str">
        <f aca="false">INDEX(Parametros!$B$16:$B$18,MATCH($C203,Parametros!$A$16:$A$18,0))</f>
        <v>E3 - Sellado y etiquetado</v>
      </c>
      <c r="E203" s="7" t="n">
        <f aca="false">IF(WEEKDAY($A203,2)&lt;6,Parametros!$B$21,Parametros!$B$22)</f>
        <v>6</v>
      </c>
      <c r="F203" s="7" t="n">
        <v>0.25</v>
      </c>
      <c r="G203" s="7" t="n">
        <f aca="false">E203-F203</f>
        <v>5.75</v>
      </c>
      <c r="H203" s="7" t="n">
        <v>0</v>
      </c>
      <c r="I203" s="7" t="n">
        <f aca="false">G203-H203</f>
        <v>5.75</v>
      </c>
      <c r="J203" s="6" t="s">
        <v>27</v>
      </c>
      <c r="K203" s="5" t="n">
        <f aca="false">INDEX(Parametros!$C$16:$C$18,MATCH($C203,Parametros!$A$16:$A$18,0))</f>
        <v>95</v>
      </c>
      <c r="L203" s="5" t="n">
        <f aca="false">I203*K203</f>
        <v>546.25</v>
      </c>
      <c r="M203" s="5" t="n">
        <v>326</v>
      </c>
      <c r="N203" s="5" t="n">
        <v>321</v>
      </c>
      <c r="O203" s="5" t="n">
        <f aca="false">M203-N203</f>
        <v>5</v>
      </c>
      <c r="P203" s="8" t="n">
        <f aca="false">IFERROR(I203/G203,0)</f>
        <v>1</v>
      </c>
      <c r="Q203" s="8" t="n">
        <f aca="false">IFERROR(M203/L203,0)</f>
        <v>0.596796338672769</v>
      </c>
      <c r="R203" s="8" t="n">
        <f aca="false">IFERROR(N203/M203,0)</f>
        <v>0.984662576687117</v>
      </c>
      <c r="S203" s="8" t="n">
        <f aca="false">P203*Q203*R203</f>
        <v>0.587643020594966</v>
      </c>
    </row>
    <row r="204" customFormat="false" ht="15" hidden="false" customHeight="false" outlineLevel="0" collapsed="false">
      <c r="A204" s="4" t="n">
        <v>46101</v>
      </c>
      <c r="B204" s="5" t="n">
        <f aca="false">MONTH($A204)</f>
        <v>3</v>
      </c>
      <c r="C204" s="5" t="n">
        <v>1</v>
      </c>
      <c r="D204" s="6" t="str">
        <f aca="false">INDEX(Parametros!$B$16:$B$18,MATCH($C204,Parametros!$A$16:$A$18,0))</f>
        <v>E1 - Lavado y sanitizado de bidones</v>
      </c>
      <c r="E204" s="7" t="n">
        <f aca="false">IF(WEEKDAY($A204,2)&lt;6,Parametros!$B$21,Parametros!$B$22)</f>
        <v>6</v>
      </c>
      <c r="F204" s="7" t="n">
        <v>0.5</v>
      </c>
      <c r="G204" s="7" t="n">
        <f aca="false">E204-F204</f>
        <v>5.5</v>
      </c>
      <c r="H204" s="7" t="n">
        <v>0.5</v>
      </c>
      <c r="I204" s="7" t="n">
        <f aca="false">G204-H204</f>
        <v>5</v>
      </c>
      <c r="J204" s="6" t="s">
        <v>22</v>
      </c>
      <c r="K204" s="5" t="n">
        <f aca="false">INDEX(Parametros!$C$16:$C$18,MATCH($C204,Parametros!$A$16:$A$18,0))</f>
        <v>100</v>
      </c>
      <c r="L204" s="5" t="n">
        <f aca="false">I204*K204</f>
        <v>500</v>
      </c>
      <c r="M204" s="5" t="n">
        <v>334</v>
      </c>
      <c r="N204" s="5" t="n">
        <v>330</v>
      </c>
      <c r="O204" s="5" t="n">
        <f aca="false">M204-N204</f>
        <v>4</v>
      </c>
      <c r="P204" s="8" t="n">
        <f aca="false">IFERROR(I204/G204,0)</f>
        <v>0.909090909090909</v>
      </c>
      <c r="Q204" s="8" t="n">
        <f aca="false">IFERROR(M204/L204,0)</f>
        <v>0.668</v>
      </c>
      <c r="R204" s="8" t="n">
        <f aca="false">IFERROR(N204/M204,0)</f>
        <v>0.988023952095808</v>
      </c>
      <c r="S204" s="8" t="n">
        <f aca="false">P204*Q204*R204</f>
        <v>0.6</v>
      </c>
    </row>
    <row r="205" customFormat="false" ht="15" hidden="false" customHeight="false" outlineLevel="0" collapsed="false">
      <c r="A205" s="4" t="n">
        <v>46101</v>
      </c>
      <c r="B205" s="5" t="n">
        <f aca="false">MONTH($A205)</f>
        <v>3</v>
      </c>
      <c r="C205" s="5" t="n">
        <v>2</v>
      </c>
      <c r="D205" s="6" t="str">
        <f aca="false">INDEX(Parametros!$B$16:$B$18,MATCH($C205,Parametros!$A$16:$A$18,0))</f>
        <v>E2 - Llenado y tapado</v>
      </c>
      <c r="E205" s="7" t="n">
        <f aca="false">IF(WEEKDAY($A205,2)&lt;6,Parametros!$B$21,Parametros!$B$22)</f>
        <v>6</v>
      </c>
      <c r="F205" s="7" t="n">
        <v>0.75</v>
      </c>
      <c r="G205" s="7" t="n">
        <f aca="false">E205-F205</f>
        <v>5.25</v>
      </c>
      <c r="H205" s="7" t="n">
        <v>0.75</v>
      </c>
      <c r="I205" s="7" t="n">
        <f aca="false">G205-H205</f>
        <v>4.5</v>
      </c>
      <c r="J205" s="6" t="s">
        <v>28</v>
      </c>
      <c r="K205" s="5" t="n">
        <f aca="false">INDEX(Parametros!$C$16:$C$18,MATCH($C205,Parametros!$A$16:$A$18,0))</f>
        <v>95</v>
      </c>
      <c r="L205" s="5" t="n">
        <f aca="false">I205*K205</f>
        <v>427.5</v>
      </c>
      <c r="M205" s="5" t="n">
        <v>330</v>
      </c>
      <c r="N205" s="5" t="n">
        <v>325</v>
      </c>
      <c r="O205" s="5" t="n">
        <f aca="false">M205-N205</f>
        <v>5</v>
      </c>
      <c r="P205" s="8" t="n">
        <f aca="false">IFERROR(I205/G205,0)</f>
        <v>0.857142857142857</v>
      </c>
      <c r="Q205" s="8" t="n">
        <f aca="false">IFERROR(M205/L205,0)</f>
        <v>0.771929824561404</v>
      </c>
      <c r="R205" s="8" t="n">
        <f aca="false">IFERROR(N205/M205,0)</f>
        <v>0.984848484848485</v>
      </c>
      <c r="S205" s="8" t="n">
        <f aca="false">P205*Q205*R205</f>
        <v>0.651629072681704</v>
      </c>
    </row>
    <row r="206" customFormat="false" ht="15" hidden="false" customHeight="false" outlineLevel="0" collapsed="false">
      <c r="A206" s="4" t="n">
        <v>46101</v>
      </c>
      <c r="B206" s="5" t="n">
        <f aca="false">MONTH($A206)</f>
        <v>3</v>
      </c>
      <c r="C206" s="5" t="n">
        <v>3</v>
      </c>
      <c r="D206" s="6" t="str">
        <f aca="false">INDEX(Parametros!$B$16:$B$18,MATCH($C206,Parametros!$A$16:$A$18,0))</f>
        <v>E3 - Sellado y etiquetado</v>
      </c>
      <c r="E206" s="7" t="n">
        <f aca="false">IF(WEEKDAY($A206,2)&lt;6,Parametros!$B$21,Parametros!$B$22)</f>
        <v>6</v>
      </c>
      <c r="F206" s="7" t="n">
        <v>0.25</v>
      </c>
      <c r="G206" s="7" t="n">
        <f aca="false">E206-F206</f>
        <v>5.75</v>
      </c>
      <c r="H206" s="7" t="n">
        <v>0.5</v>
      </c>
      <c r="I206" s="7" t="n">
        <f aca="false">G206-H206</f>
        <v>5.25</v>
      </c>
      <c r="J206" s="6" t="s">
        <v>30</v>
      </c>
      <c r="K206" s="5" t="n">
        <f aca="false">INDEX(Parametros!$C$16:$C$18,MATCH($C206,Parametros!$A$16:$A$18,0))</f>
        <v>95</v>
      </c>
      <c r="L206" s="5" t="n">
        <f aca="false">I206*K206</f>
        <v>498.75</v>
      </c>
      <c r="M206" s="5" t="n">
        <v>325</v>
      </c>
      <c r="N206" s="5" t="n">
        <v>321</v>
      </c>
      <c r="O206" s="5" t="n">
        <f aca="false">M206-N206</f>
        <v>4</v>
      </c>
      <c r="P206" s="8" t="n">
        <f aca="false">IFERROR(I206/G206,0)</f>
        <v>0.91304347826087</v>
      </c>
      <c r="Q206" s="8" t="n">
        <f aca="false">IFERROR(M206/L206,0)</f>
        <v>0.651629072681704</v>
      </c>
      <c r="R206" s="8" t="n">
        <f aca="false">IFERROR(N206/M206,0)</f>
        <v>0.987692307692308</v>
      </c>
      <c r="S206" s="8" t="n">
        <f aca="false">P206*Q206*R206</f>
        <v>0.587643020594966</v>
      </c>
    </row>
    <row r="207" customFormat="false" ht="15" hidden="false" customHeight="false" outlineLevel="0" collapsed="false">
      <c r="A207" s="4" t="n">
        <v>46102</v>
      </c>
      <c r="B207" s="5" t="n">
        <f aca="false">MONTH($A207)</f>
        <v>3</v>
      </c>
      <c r="C207" s="5" t="n">
        <v>1</v>
      </c>
      <c r="D207" s="6" t="str">
        <f aca="false">INDEX(Parametros!$B$16:$B$18,MATCH($C207,Parametros!$A$16:$A$18,0))</f>
        <v>E1 - Lavado y sanitizado de bidones</v>
      </c>
      <c r="E207" s="7" t="n">
        <f aca="false">IF(WEEKDAY($A207,2)&lt;6,Parametros!$B$21,Parametros!$B$22)</f>
        <v>4</v>
      </c>
      <c r="F207" s="7" t="n">
        <v>0.75</v>
      </c>
      <c r="G207" s="7" t="n">
        <f aca="false">E207-F207</f>
        <v>3.25</v>
      </c>
      <c r="H207" s="7" t="n">
        <v>2</v>
      </c>
      <c r="I207" s="7" t="n">
        <f aca="false">G207-H207</f>
        <v>1.25</v>
      </c>
      <c r="J207" s="6" t="s">
        <v>22</v>
      </c>
      <c r="K207" s="5" t="n">
        <f aca="false">INDEX(Parametros!$C$16:$C$18,MATCH($C207,Parametros!$A$16:$A$18,0))</f>
        <v>100</v>
      </c>
      <c r="L207" s="5" t="n">
        <f aca="false">I207*K207</f>
        <v>125</v>
      </c>
      <c r="M207" s="5" t="n">
        <v>99</v>
      </c>
      <c r="N207" s="5" t="n">
        <v>98</v>
      </c>
      <c r="O207" s="5" t="n">
        <f aca="false">M207-N207</f>
        <v>1</v>
      </c>
      <c r="P207" s="8" t="n">
        <f aca="false">IFERROR(I207/G207,0)</f>
        <v>0.384615384615385</v>
      </c>
      <c r="Q207" s="8" t="n">
        <f aca="false">IFERROR(M207/L207,0)</f>
        <v>0.792</v>
      </c>
      <c r="R207" s="8" t="n">
        <f aca="false">IFERROR(N207/M207,0)</f>
        <v>0.98989898989899</v>
      </c>
      <c r="S207" s="8" t="n">
        <f aca="false">P207*Q207*R207</f>
        <v>0.301538461538462</v>
      </c>
    </row>
    <row r="208" customFormat="false" ht="15" hidden="false" customHeight="false" outlineLevel="0" collapsed="false">
      <c r="A208" s="4" t="n">
        <v>46102</v>
      </c>
      <c r="B208" s="5" t="n">
        <f aca="false">MONTH($A208)</f>
        <v>3</v>
      </c>
      <c r="C208" s="5" t="n">
        <v>2</v>
      </c>
      <c r="D208" s="6" t="str">
        <f aca="false">INDEX(Parametros!$B$16:$B$18,MATCH($C208,Parametros!$A$16:$A$18,0))</f>
        <v>E2 - Llenado y tapado</v>
      </c>
      <c r="E208" s="7" t="n">
        <f aca="false">IF(WEEKDAY($A208,2)&lt;6,Parametros!$B$21,Parametros!$B$22)</f>
        <v>4</v>
      </c>
      <c r="F208" s="7" t="n">
        <v>1</v>
      </c>
      <c r="G208" s="7" t="n">
        <f aca="false">E208-F208</f>
        <v>3</v>
      </c>
      <c r="H208" s="7" t="n">
        <v>1.25</v>
      </c>
      <c r="I208" s="7" t="n">
        <f aca="false">G208-H208</f>
        <v>1.75</v>
      </c>
      <c r="J208" s="6" t="s">
        <v>29</v>
      </c>
      <c r="K208" s="5" t="n">
        <f aca="false">INDEX(Parametros!$C$16:$C$18,MATCH($C208,Parametros!$A$16:$A$18,0))</f>
        <v>95</v>
      </c>
      <c r="L208" s="5" t="n">
        <f aca="false">I208*K208</f>
        <v>166.25</v>
      </c>
      <c r="M208" s="5" t="n">
        <v>98</v>
      </c>
      <c r="N208" s="5" t="n">
        <v>95</v>
      </c>
      <c r="O208" s="5" t="n">
        <f aca="false">M208-N208</f>
        <v>3</v>
      </c>
      <c r="P208" s="8" t="n">
        <f aca="false">IFERROR(I208/G208,0)</f>
        <v>0.583333333333333</v>
      </c>
      <c r="Q208" s="8" t="n">
        <f aca="false">IFERROR(M208/L208,0)</f>
        <v>0.589473684210526</v>
      </c>
      <c r="R208" s="8" t="n">
        <f aca="false">IFERROR(N208/M208,0)</f>
        <v>0.969387755102041</v>
      </c>
      <c r="S208" s="8" t="n">
        <f aca="false">P208*Q208*R208</f>
        <v>0.333333333333333</v>
      </c>
    </row>
    <row r="209" customFormat="false" ht="15" hidden="false" customHeight="false" outlineLevel="0" collapsed="false">
      <c r="A209" s="4" t="n">
        <v>46102</v>
      </c>
      <c r="B209" s="5" t="n">
        <f aca="false">MONTH($A209)</f>
        <v>3</v>
      </c>
      <c r="C209" s="5" t="n">
        <v>3</v>
      </c>
      <c r="D209" s="6" t="str">
        <f aca="false">INDEX(Parametros!$B$16:$B$18,MATCH($C209,Parametros!$A$16:$A$18,0))</f>
        <v>E3 - Sellado y etiquetado</v>
      </c>
      <c r="E209" s="7" t="n">
        <f aca="false">IF(WEEKDAY($A209,2)&lt;6,Parametros!$B$21,Parametros!$B$22)</f>
        <v>4</v>
      </c>
      <c r="F209" s="7" t="n">
        <v>0.5</v>
      </c>
      <c r="G209" s="7" t="n">
        <f aca="false">E209-F209</f>
        <v>3.5</v>
      </c>
      <c r="H209" s="7" t="n">
        <v>1.25</v>
      </c>
      <c r="I209" s="7" t="n">
        <f aca="false">G209-H209</f>
        <v>2.25</v>
      </c>
      <c r="J209" s="6" t="s">
        <v>29</v>
      </c>
      <c r="K209" s="5" t="n">
        <f aca="false">INDEX(Parametros!$C$16:$C$18,MATCH($C209,Parametros!$A$16:$A$18,0))</f>
        <v>95</v>
      </c>
      <c r="L209" s="5" t="n">
        <f aca="false">I209*K209</f>
        <v>213.75</v>
      </c>
      <c r="M209" s="5" t="n">
        <v>95</v>
      </c>
      <c r="N209" s="5" t="n">
        <v>94</v>
      </c>
      <c r="O209" s="5" t="n">
        <f aca="false">M209-N209</f>
        <v>1</v>
      </c>
      <c r="P209" s="8" t="n">
        <f aca="false">IFERROR(I209/G209,0)</f>
        <v>0.642857142857143</v>
      </c>
      <c r="Q209" s="8" t="n">
        <f aca="false">IFERROR(M209/L209,0)</f>
        <v>0.444444444444444</v>
      </c>
      <c r="R209" s="8" t="n">
        <f aca="false">IFERROR(N209/M209,0)</f>
        <v>0.989473684210526</v>
      </c>
      <c r="S209" s="8" t="n">
        <f aca="false">P209*Q209*R209</f>
        <v>0.282706766917293</v>
      </c>
    </row>
    <row r="210" customFormat="false" ht="15" hidden="false" customHeight="false" outlineLevel="0" collapsed="false">
      <c r="A210" s="4" t="n">
        <v>46104</v>
      </c>
      <c r="B210" s="5" t="n">
        <f aca="false">MONTH($A210)</f>
        <v>3</v>
      </c>
      <c r="C210" s="5" t="n">
        <v>1</v>
      </c>
      <c r="D210" s="6" t="str">
        <f aca="false">INDEX(Parametros!$B$16:$B$18,MATCH($C210,Parametros!$A$16:$A$18,0))</f>
        <v>E1 - Lavado y sanitizado de bidones</v>
      </c>
      <c r="E210" s="7" t="n">
        <f aca="false">IF(WEEKDAY($A210,2)&lt;6,Parametros!$B$21,Parametros!$B$22)</f>
        <v>6</v>
      </c>
      <c r="F210" s="7" t="n">
        <v>0.5</v>
      </c>
      <c r="G210" s="7" t="n">
        <f aca="false">E210-F210</f>
        <v>5.5</v>
      </c>
      <c r="H210" s="7" t="n">
        <v>0.75</v>
      </c>
      <c r="I210" s="7" t="n">
        <f aca="false">G210-H210</f>
        <v>4.75</v>
      </c>
      <c r="J210" s="6" t="s">
        <v>22</v>
      </c>
      <c r="K210" s="5" t="n">
        <f aca="false">INDEX(Parametros!$C$16:$C$18,MATCH($C210,Parametros!$A$16:$A$18,0))</f>
        <v>100</v>
      </c>
      <c r="L210" s="5" t="n">
        <f aca="false">I210*K210</f>
        <v>475</v>
      </c>
      <c r="M210" s="5" t="n">
        <v>356</v>
      </c>
      <c r="N210" s="5" t="n">
        <v>353</v>
      </c>
      <c r="O210" s="5" t="n">
        <f aca="false">M210-N210</f>
        <v>3</v>
      </c>
      <c r="P210" s="8" t="n">
        <f aca="false">IFERROR(I210/G210,0)</f>
        <v>0.863636363636364</v>
      </c>
      <c r="Q210" s="8" t="n">
        <f aca="false">IFERROR(M210/L210,0)</f>
        <v>0.749473684210526</v>
      </c>
      <c r="R210" s="8" t="n">
        <f aca="false">IFERROR(N210/M210,0)</f>
        <v>0.991573033707865</v>
      </c>
      <c r="S210" s="8" t="n">
        <f aca="false">P210*Q210*R210</f>
        <v>0.641818181818182</v>
      </c>
    </row>
    <row r="211" customFormat="false" ht="15" hidden="false" customHeight="false" outlineLevel="0" collapsed="false">
      <c r="A211" s="4" t="n">
        <v>46104</v>
      </c>
      <c r="B211" s="5" t="n">
        <f aca="false">MONTH($A211)</f>
        <v>3</v>
      </c>
      <c r="C211" s="5" t="n">
        <v>2</v>
      </c>
      <c r="D211" s="6" t="str">
        <f aca="false">INDEX(Parametros!$B$16:$B$18,MATCH($C211,Parametros!$A$16:$A$18,0))</f>
        <v>E2 - Llenado y tapado</v>
      </c>
      <c r="E211" s="7" t="n">
        <f aca="false">IF(WEEKDAY($A211,2)&lt;6,Parametros!$B$21,Parametros!$B$22)</f>
        <v>6</v>
      </c>
      <c r="F211" s="7" t="n">
        <v>0.75</v>
      </c>
      <c r="G211" s="7" t="n">
        <f aca="false">E211-F211</f>
        <v>5.25</v>
      </c>
      <c r="H211" s="7" t="n">
        <v>1</v>
      </c>
      <c r="I211" s="7" t="n">
        <f aca="false">G211-H211</f>
        <v>4.25</v>
      </c>
      <c r="J211" s="6" t="s">
        <v>28</v>
      </c>
      <c r="K211" s="5" t="n">
        <f aca="false">INDEX(Parametros!$C$16:$C$18,MATCH($C211,Parametros!$A$16:$A$18,0))</f>
        <v>95</v>
      </c>
      <c r="L211" s="5" t="n">
        <f aca="false">I211*K211</f>
        <v>403.75</v>
      </c>
      <c r="M211" s="5" t="n">
        <v>353</v>
      </c>
      <c r="N211" s="5" t="n">
        <v>345</v>
      </c>
      <c r="O211" s="5" t="n">
        <f aca="false">M211-N211</f>
        <v>8</v>
      </c>
      <c r="P211" s="8" t="n">
        <f aca="false">IFERROR(I211/G211,0)</f>
        <v>0.80952380952381</v>
      </c>
      <c r="Q211" s="8" t="n">
        <f aca="false">IFERROR(M211/L211,0)</f>
        <v>0.874303405572755</v>
      </c>
      <c r="R211" s="8" t="n">
        <f aca="false">IFERROR(N211/M211,0)</f>
        <v>0.977337110481586</v>
      </c>
      <c r="S211" s="8" t="n">
        <f aca="false">P211*Q211*R211</f>
        <v>0.691729323308271</v>
      </c>
    </row>
    <row r="212" customFormat="false" ht="15" hidden="false" customHeight="false" outlineLevel="0" collapsed="false">
      <c r="A212" s="4" t="n">
        <v>46104</v>
      </c>
      <c r="B212" s="5" t="n">
        <f aca="false">MONTH($A212)</f>
        <v>3</v>
      </c>
      <c r="C212" s="5" t="n">
        <v>3</v>
      </c>
      <c r="D212" s="6" t="str">
        <f aca="false">INDEX(Parametros!$B$16:$B$18,MATCH($C212,Parametros!$A$16:$A$18,0))</f>
        <v>E3 - Sellado y etiquetado</v>
      </c>
      <c r="E212" s="7" t="n">
        <f aca="false">IF(WEEKDAY($A212,2)&lt;6,Parametros!$B$21,Parametros!$B$22)</f>
        <v>6</v>
      </c>
      <c r="F212" s="7" t="n">
        <v>0.25</v>
      </c>
      <c r="G212" s="7" t="n">
        <f aca="false">E212-F212</f>
        <v>5.75</v>
      </c>
      <c r="H212" s="7" t="n">
        <v>0.5</v>
      </c>
      <c r="I212" s="7" t="n">
        <f aca="false">G212-H212</f>
        <v>5.25</v>
      </c>
      <c r="J212" s="6" t="s">
        <v>25</v>
      </c>
      <c r="K212" s="5" t="n">
        <f aca="false">INDEX(Parametros!$C$16:$C$18,MATCH($C212,Parametros!$A$16:$A$18,0))</f>
        <v>95</v>
      </c>
      <c r="L212" s="5" t="n">
        <f aca="false">I212*K212</f>
        <v>498.75</v>
      </c>
      <c r="M212" s="5" t="n">
        <v>345</v>
      </c>
      <c r="N212" s="5" t="n">
        <v>344</v>
      </c>
      <c r="O212" s="5" t="n">
        <f aca="false">M212-N212</f>
        <v>1</v>
      </c>
      <c r="P212" s="8" t="n">
        <f aca="false">IFERROR(I212/G212,0)</f>
        <v>0.91304347826087</v>
      </c>
      <c r="Q212" s="8" t="n">
        <f aca="false">IFERROR(M212/L212,0)</f>
        <v>0.691729323308271</v>
      </c>
      <c r="R212" s="8" t="n">
        <f aca="false">IFERROR(N212/M212,0)</f>
        <v>0.997101449275362</v>
      </c>
      <c r="S212" s="8" t="n">
        <f aca="false">P212*Q212*R212</f>
        <v>0.62974828375286</v>
      </c>
    </row>
    <row r="213" customFormat="false" ht="15" hidden="false" customHeight="false" outlineLevel="0" collapsed="false">
      <c r="A213" s="4" t="n">
        <v>46105</v>
      </c>
      <c r="B213" s="5" t="n">
        <f aca="false">MONTH($A213)</f>
        <v>3</v>
      </c>
      <c r="C213" s="5" t="n">
        <v>1</v>
      </c>
      <c r="D213" s="6" t="str">
        <f aca="false">INDEX(Parametros!$B$16:$B$18,MATCH($C213,Parametros!$A$16:$A$18,0))</f>
        <v>E1 - Lavado y sanitizado de bidones</v>
      </c>
      <c r="E213" s="7" t="n">
        <f aca="false">IF(WEEKDAY($A213,2)&lt;6,Parametros!$B$21,Parametros!$B$22)</f>
        <v>6</v>
      </c>
      <c r="F213" s="7" t="n">
        <v>0.5</v>
      </c>
      <c r="G213" s="7" t="n">
        <f aca="false">E213-F213</f>
        <v>5.5</v>
      </c>
      <c r="H213" s="7" t="n">
        <v>0.5</v>
      </c>
      <c r="I213" s="7" t="n">
        <f aca="false">G213-H213</f>
        <v>5</v>
      </c>
      <c r="J213" s="6" t="s">
        <v>22</v>
      </c>
      <c r="K213" s="5" t="n">
        <f aca="false">INDEX(Parametros!$C$16:$C$18,MATCH($C213,Parametros!$A$16:$A$18,0))</f>
        <v>100</v>
      </c>
      <c r="L213" s="5" t="n">
        <f aca="false">I213*K213</f>
        <v>500</v>
      </c>
      <c r="M213" s="5" t="n">
        <v>339</v>
      </c>
      <c r="N213" s="5" t="n">
        <v>333</v>
      </c>
      <c r="O213" s="5" t="n">
        <f aca="false">M213-N213</f>
        <v>6</v>
      </c>
      <c r="P213" s="8" t="n">
        <f aca="false">IFERROR(I213/G213,0)</f>
        <v>0.909090909090909</v>
      </c>
      <c r="Q213" s="8" t="n">
        <f aca="false">IFERROR(M213/L213,0)</f>
        <v>0.678</v>
      </c>
      <c r="R213" s="8" t="n">
        <f aca="false">IFERROR(N213/M213,0)</f>
        <v>0.982300884955752</v>
      </c>
      <c r="S213" s="8" t="n">
        <f aca="false">P213*Q213*R213</f>
        <v>0.605454545454545</v>
      </c>
    </row>
    <row r="214" customFormat="false" ht="15" hidden="false" customHeight="false" outlineLevel="0" collapsed="false">
      <c r="A214" s="4" t="n">
        <v>46105</v>
      </c>
      <c r="B214" s="5" t="n">
        <f aca="false">MONTH($A214)</f>
        <v>3</v>
      </c>
      <c r="C214" s="5" t="n">
        <v>2</v>
      </c>
      <c r="D214" s="6" t="str">
        <f aca="false">INDEX(Parametros!$B$16:$B$18,MATCH($C214,Parametros!$A$16:$A$18,0))</f>
        <v>E2 - Llenado y tapado</v>
      </c>
      <c r="E214" s="7" t="n">
        <f aca="false">IF(WEEKDAY($A214,2)&lt;6,Parametros!$B$21,Parametros!$B$22)</f>
        <v>6</v>
      </c>
      <c r="F214" s="7" t="n">
        <v>0.75</v>
      </c>
      <c r="G214" s="7" t="n">
        <f aca="false">E214-F214</f>
        <v>5.25</v>
      </c>
      <c r="H214" s="7" t="n">
        <v>0</v>
      </c>
      <c r="I214" s="7" t="n">
        <f aca="false">G214-H214</f>
        <v>5.25</v>
      </c>
      <c r="J214" s="6" t="s">
        <v>27</v>
      </c>
      <c r="K214" s="5" t="n">
        <f aca="false">INDEX(Parametros!$C$16:$C$18,MATCH($C214,Parametros!$A$16:$A$18,0))</f>
        <v>95</v>
      </c>
      <c r="L214" s="5" t="n">
        <f aca="false">I214*K214</f>
        <v>498.75</v>
      </c>
      <c r="M214" s="5" t="n">
        <v>333</v>
      </c>
      <c r="N214" s="5" t="n">
        <v>329</v>
      </c>
      <c r="O214" s="5" t="n">
        <f aca="false">M214-N214</f>
        <v>4</v>
      </c>
      <c r="P214" s="8" t="n">
        <f aca="false">IFERROR(I214/G214,0)</f>
        <v>1</v>
      </c>
      <c r="Q214" s="8" t="n">
        <f aca="false">IFERROR(M214/L214,0)</f>
        <v>0.667669172932331</v>
      </c>
      <c r="R214" s="8" t="n">
        <f aca="false">IFERROR(N214/M214,0)</f>
        <v>0.987987987987988</v>
      </c>
      <c r="S214" s="8" t="n">
        <f aca="false">P214*Q214*R214</f>
        <v>0.659649122807018</v>
      </c>
    </row>
    <row r="215" customFormat="false" ht="15" hidden="false" customHeight="false" outlineLevel="0" collapsed="false">
      <c r="A215" s="4" t="n">
        <v>46105</v>
      </c>
      <c r="B215" s="5" t="n">
        <f aca="false">MONTH($A215)</f>
        <v>3</v>
      </c>
      <c r="C215" s="5" t="n">
        <v>3</v>
      </c>
      <c r="D215" s="6" t="str">
        <f aca="false">INDEX(Parametros!$B$16:$B$18,MATCH($C215,Parametros!$A$16:$A$18,0))</f>
        <v>E3 - Sellado y etiquetado</v>
      </c>
      <c r="E215" s="7" t="n">
        <f aca="false">IF(WEEKDAY($A215,2)&lt;6,Parametros!$B$21,Parametros!$B$22)</f>
        <v>6</v>
      </c>
      <c r="F215" s="7" t="n">
        <v>0.25</v>
      </c>
      <c r="G215" s="7" t="n">
        <f aca="false">E215-F215</f>
        <v>5.75</v>
      </c>
      <c r="H215" s="7" t="n">
        <v>0</v>
      </c>
      <c r="I215" s="7" t="n">
        <f aca="false">G215-H215</f>
        <v>5.75</v>
      </c>
      <c r="J215" s="6" t="s">
        <v>27</v>
      </c>
      <c r="K215" s="5" t="n">
        <f aca="false">INDEX(Parametros!$C$16:$C$18,MATCH($C215,Parametros!$A$16:$A$18,0))</f>
        <v>95</v>
      </c>
      <c r="L215" s="5" t="n">
        <f aca="false">I215*K215</f>
        <v>546.25</v>
      </c>
      <c r="M215" s="5" t="n">
        <v>329</v>
      </c>
      <c r="N215" s="5" t="n">
        <v>326</v>
      </c>
      <c r="O215" s="5" t="n">
        <f aca="false">M215-N215</f>
        <v>3</v>
      </c>
      <c r="P215" s="8" t="n">
        <f aca="false">IFERROR(I215/G215,0)</f>
        <v>1</v>
      </c>
      <c r="Q215" s="8" t="n">
        <f aca="false">IFERROR(M215/L215,0)</f>
        <v>0.602288329519451</v>
      </c>
      <c r="R215" s="8" t="n">
        <f aca="false">IFERROR(N215/M215,0)</f>
        <v>0.990881458966565</v>
      </c>
      <c r="S215" s="8" t="n">
        <f aca="false">P215*Q215*R215</f>
        <v>0.596796338672769</v>
      </c>
    </row>
    <row r="216" customFormat="false" ht="15" hidden="false" customHeight="false" outlineLevel="0" collapsed="false">
      <c r="A216" s="4" t="n">
        <v>46106</v>
      </c>
      <c r="B216" s="5" t="n">
        <f aca="false">MONTH($A216)</f>
        <v>3</v>
      </c>
      <c r="C216" s="5" t="n">
        <v>1</v>
      </c>
      <c r="D216" s="6" t="str">
        <f aca="false">INDEX(Parametros!$B$16:$B$18,MATCH($C216,Parametros!$A$16:$A$18,0))</f>
        <v>E1 - Lavado y sanitizado de bidones</v>
      </c>
      <c r="E216" s="7" t="n">
        <f aca="false">IF(WEEKDAY($A216,2)&lt;6,Parametros!$B$21,Parametros!$B$22)</f>
        <v>6</v>
      </c>
      <c r="F216" s="7" t="n">
        <v>0.5</v>
      </c>
      <c r="G216" s="7" t="n">
        <f aca="false">E216-F216</f>
        <v>5.5</v>
      </c>
      <c r="H216" s="7" t="n">
        <v>0.25</v>
      </c>
      <c r="I216" s="7" t="n">
        <f aca="false">G216-H216</f>
        <v>5.25</v>
      </c>
      <c r="J216" s="6" t="s">
        <v>22</v>
      </c>
      <c r="K216" s="5" t="n">
        <f aca="false">INDEX(Parametros!$C$16:$C$18,MATCH($C216,Parametros!$A$16:$A$18,0))</f>
        <v>100</v>
      </c>
      <c r="L216" s="5" t="n">
        <f aca="false">I216*K216</f>
        <v>525</v>
      </c>
      <c r="M216" s="5" t="n">
        <v>332</v>
      </c>
      <c r="N216" s="5" t="n">
        <v>329</v>
      </c>
      <c r="O216" s="5" t="n">
        <f aca="false">M216-N216</f>
        <v>3</v>
      </c>
      <c r="P216" s="8" t="n">
        <f aca="false">IFERROR(I216/G216,0)</f>
        <v>0.954545454545455</v>
      </c>
      <c r="Q216" s="8" t="n">
        <f aca="false">IFERROR(M216/L216,0)</f>
        <v>0.632380952380952</v>
      </c>
      <c r="R216" s="8" t="n">
        <f aca="false">IFERROR(N216/M216,0)</f>
        <v>0.990963855421687</v>
      </c>
      <c r="S216" s="8" t="n">
        <f aca="false">P216*Q216*R216</f>
        <v>0.598181818181818</v>
      </c>
    </row>
    <row r="217" customFormat="false" ht="15" hidden="false" customHeight="false" outlineLevel="0" collapsed="false">
      <c r="A217" s="4" t="n">
        <v>46106</v>
      </c>
      <c r="B217" s="5" t="n">
        <f aca="false">MONTH($A217)</f>
        <v>3</v>
      </c>
      <c r="C217" s="5" t="n">
        <v>2</v>
      </c>
      <c r="D217" s="6" t="str">
        <f aca="false">INDEX(Parametros!$B$16:$B$18,MATCH($C217,Parametros!$A$16:$A$18,0))</f>
        <v>E2 - Llenado y tapado</v>
      </c>
      <c r="E217" s="7" t="n">
        <f aca="false">IF(WEEKDAY($A217,2)&lt;6,Parametros!$B$21,Parametros!$B$22)</f>
        <v>6</v>
      </c>
      <c r="F217" s="7" t="n">
        <v>0.75</v>
      </c>
      <c r="G217" s="7" t="n">
        <f aca="false">E217-F217</f>
        <v>5.25</v>
      </c>
      <c r="H217" s="7" t="n">
        <v>0</v>
      </c>
      <c r="I217" s="7" t="n">
        <f aca="false">G217-H217</f>
        <v>5.25</v>
      </c>
      <c r="J217" s="6" t="s">
        <v>27</v>
      </c>
      <c r="K217" s="5" t="n">
        <f aca="false">INDEX(Parametros!$C$16:$C$18,MATCH($C217,Parametros!$A$16:$A$18,0))</f>
        <v>95</v>
      </c>
      <c r="L217" s="5" t="n">
        <f aca="false">I217*K217</f>
        <v>498.75</v>
      </c>
      <c r="M217" s="5" t="n">
        <v>329</v>
      </c>
      <c r="N217" s="5" t="n">
        <v>325</v>
      </c>
      <c r="O217" s="5" t="n">
        <f aca="false">M217-N217</f>
        <v>4</v>
      </c>
      <c r="P217" s="8" t="n">
        <f aca="false">IFERROR(I217/G217,0)</f>
        <v>1</v>
      </c>
      <c r="Q217" s="8" t="n">
        <f aca="false">IFERROR(M217/L217,0)</f>
        <v>0.659649122807018</v>
      </c>
      <c r="R217" s="8" t="n">
        <f aca="false">IFERROR(N217/M217,0)</f>
        <v>0.987841945288754</v>
      </c>
      <c r="S217" s="8" t="n">
        <f aca="false">P217*Q217*R217</f>
        <v>0.651629072681704</v>
      </c>
    </row>
    <row r="218" customFormat="false" ht="15" hidden="false" customHeight="false" outlineLevel="0" collapsed="false">
      <c r="A218" s="4" t="n">
        <v>46106</v>
      </c>
      <c r="B218" s="5" t="n">
        <f aca="false">MONTH($A218)</f>
        <v>3</v>
      </c>
      <c r="C218" s="5" t="n">
        <v>3</v>
      </c>
      <c r="D218" s="6" t="str">
        <f aca="false">INDEX(Parametros!$B$16:$B$18,MATCH($C218,Parametros!$A$16:$A$18,0))</f>
        <v>E3 - Sellado y etiquetado</v>
      </c>
      <c r="E218" s="7" t="n">
        <f aca="false">IF(WEEKDAY($A218,2)&lt;6,Parametros!$B$21,Parametros!$B$22)</f>
        <v>6</v>
      </c>
      <c r="F218" s="7" t="n">
        <v>0.25</v>
      </c>
      <c r="G218" s="7" t="n">
        <f aca="false">E218-F218</f>
        <v>5.75</v>
      </c>
      <c r="H218" s="7" t="n">
        <v>0.25</v>
      </c>
      <c r="I218" s="7" t="n">
        <f aca="false">G218-H218</f>
        <v>5.5</v>
      </c>
      <c r="J218" s="6" t="s">
        <v>23</v>
      </c>
      <c r="K218" s="5" t="n">
        <f aca="false">INDEX(Parametros!$C$16:$C$18,MATCH($C218,Parametros!$A$16:$A$18,0))</f>
        <v>95</v>
      </c>
      <c r="L218" s="5" t="n">
        <f aca="false">I218*K218</f>
        <v>522.5</v>
      </c>
      <c r="M218" s="5" t="n">
        <v>325</v>
      </c>
      <c r="N218" s="5" t="n">
        <v>323</v>
      </c>
      <c r="O218" s="5" t="n">
        <f aca="false">M218-N218</f>
        <v>2</v>
      </c>
      <c r="P218" s="8" t="n">
        <f aca="false">IFERROR(I218/G218,0)</f>
        <v>0.956521739130435</v>
      </c>
      <c r="Q218" s="8" t="n">
        <f aca="false">IFERROR(M218/L218,0)</f>
        <v>0.622009569377991</v>
      </c>
      <c r="R218" s="8" t="n">
        <f aca="false">IFERROR(N218/M218,0)</f>
        <v>0.993846153846154</v>
      </c>
      <c r="S218" s="8" t="n">
        <f aca="false">P218*Q218*R218</f>
        <v>0.591304347826087</v>
      </c>
    </row>
    <row r="219" customFormat="false" ht="15" hidden="false" customHeight="false" outlineLevel="0" collapsed="false">
      <c r="A219" s="4" t="n">
        <v>46107</v>
      </c>
      <c r="B219" s="5" t="n">
        <f aca="false">MONTH($A219)</f>
        <v>3</v>
      </c>
      <c r="C219" s="5" t="n">
        <v>1</v>
      </c>
      <c r="D219" s="6" t="str">
        <f aca="false">INDEX(Parametros!$B$16:$B$18,MATCH($C219,Parametros!$A$16:$A$18,0))</f>
        <v>E1 - Lavado y sanitizado de bidones</v>
      </c>
      <c r="E219" s="7" t="n">
        <f aca="false">IF(WEEKDAY($A219,2)&lt;6,Parametros!$B$21,Parametros!$B$22)</f>
        <v>6</v>
      </c>
      <c r="F219" s="7" t="n">
        <v>0.5</v>
      </c>
      <c r="G219" s="7" t="n">
        <f aca="false">E219-F219</f>
        <v>5.5</v>
      </c>
      <c r="H219" s="7" t="n">
        <v>1.25</v>
      </c>
      <c r="I219" s="7" t="n">
        <f aca="false">G219-H219</f>
        <v>4.25</v>
      </c>
      <c r="J219" s="6" t="s">
        <v>29</v>
      </c>
      <c r="K219" s="5" t="n">
        <f aca="false">INDEX(Parametros!$C$16:$C$18,MATCH($C219,Parametros!$A$16:$A$18,0))</f>
        <v>100</v>
      </c>
      <c r="L219" s="5" t="n">
        <f aca="false">I219*K219</f>
        <v>425</v>
      </c>
      <c r="M219" s="5" t="n">
        <v>252</v>
      </c>
      <c r="N219" s="5" t="n">
        <v>250</v>
      </c>
      <c r="O219" s="5" t="n">
        <f aca="false">M219-N219</f>
        <v>2</v>
      </c>
      <c r="P219" s="8" t="n">
        <f aca="false">IFERROR(I219/G219,0)</f>
        <v>0.772727272727273</v>
      </c>
      <c r="Q219" s="8" t="n">
        <f aca="false">IFERROR(M219/L219,0)</f>
        <v>0.592941176470588</v>
      </c>
      <c r="R219" s="8" t="n">
        <f aca="false">IFERROR(N219/M219,0)</f>
        <v>0.992063492063492</v>
      </c>
      <c r="S219" s="8" t="n">
        <f aca="false">P219*Q219*R219</f>
        <v>0.454545454545455</v>
      </c>
    </row>
    <row r="220" customFormat="false" ht="15" hidden="false" customHeight="false" outlineLevel="0" collapsed="false">
      <c r="A220" s="4" t="n">
        <v>46107</v>
      </c>
      <c r="B220" s="5" t="n">
        <f aca="false">MONTH($A220)</f>
        <v>3</v>
      </c>
      <c r="C220" s="5" t="n">
        <v>2</v>
      </c>
      <c r="D220" s="6" t="str">
        <f aca="false">INDEX(Parametros!$B$16:$B$18,MATCH($C220,Parametros!$A$16:$A$18,0))</f>
        <v>E2 - Llenado y tapado</v>
      </c>
      <c r="E220" s="7" t="n">
        <f aca="false">IF(WEEKDAY($A220,2)&lt;6,Parametros!$B$21,Parametros!$B$22)</f>
        <v>6</v>
      </c>
      <c r="F220" s="7" t="n">
        <v>0.75</v>
      </c>
      <c r="G220" s="7" t="n">
        <f aca="false">E220-F220</f>
        <v>5.25</v>
      </c>
      <c r="H220" s="7" t="n">
        <v>2</v>
      </c>
      <c r="I220" s="7" t="n">
        <f aca="false">G220-H220</f>
        <v>3.25</v>
      </c>
      <c r="J220" s="6" t="s">
        <v>30</v>
      </c>
      <c r="K220" s="5" t="n">
        <f aca="false">INDEX(Parametros!$C$16:$C$18,MATCH($C220,Parametros!$A$16:$A$18,0))</f>
        <v>95</v>
      </c>
      <c r="L220" s="5" t="n">
        <f aca="false">I220*K220</f>
        <v>308.75</v>
      </c>
      <c r="M220" s="5" t="n">
        <v>250</v>
      </c>
      <c r="N220" s="5" t="n">
        <v>244</v>
      </c>
      <c r="O220" s="5" t="n">
        <f aca="false">M220-N220</f>
        <v>6</v>
      </c>
      <c r="P220" s="8" t="n">
        <f aca="false">IFERROR(I220/G220,0)</f>
        <v>0.619047619047619</v>
      </c>
      <c r="Q220" s="8" t="n">
        <f aca="false">IFERROR(M220/L220,0)</f>
        <v>0.809716599190283</v>
      </c>
      <c r="R220" s="8" t="n">
        <f aca="false">IFERROR(N220/M220,0)</f>
        <v>0.976</v>
      </c>
      <c r="S220" s="8" t="n">
        <f aca="false">P220*Q220*R220</f>
        <v>0.48922305764411</v>
      </c>
    </row>
    <row r="221" customFormat="false" ht="15" hidden="false" customHeight="false" outlineLevel="0" collapsed="false">
      <c r="A221" s="4" t="n">
        <v>46107</v>
      </c>
      <c r="B221" s="5" t="n">
        <f aca="false">MONTH($A221)</f>
        <v>3</v>
      </c>
      <c r="C221" s="5" t="n">
        <v>3</v>
      </c>
      <c r="D221" s="6" t="str">
        <f aca="false">INDEX(Parametros!$B$16:$B$18,MATCH($C221,Parametros!$A$16:$A$18,0))</f>
        <v>E3 - Sellado y etiquetado</v>
      </c>
      <c r="E221" s="7" t="n">
        <f aca="false">IF(WEEKDAY($A221,2)&lt;6,Parametros!$B$21,Parametros!$B$22)</f>
        <v>6</v>
      </c>
      <c r="F221" s="7" t="n">
        <v>0.25</v>
      </c>
      <c r="G221" s="7" t="n">
        <f aca="false">E221-F221</f>
        <v>5.75</v>
      </c>
      <c r="H221" s="7" t="n">
        <v>1.25</v>
      </c>
      <c r="I221" s="7" t="n">
        <f aca="false">G221-H221</f>
        <v>4.5</v>
      </c>
      <c r="J221" s="6" t="s">
        <v>25</v>
      </c>
      <c r="K221" s="5" t="n">
        <f aca="false">INDEX(Parametros!$C$16:$C$18,MATCH($C221,Parametros!$A$16:$A$18,0))</f>
        <v>95</v>
      </c>
      <c r="L221" s="5" t="n">
        <f aca="false">I221*K221</f>
        <v>427.5</v>
      </c>
      <c r="M221" s="5" t="n">
        <v>244</v>
      </c>
      <c r="N221" s="5" t="n">
        <v>240</v>
      </c>
      <c r="O221" s="5" t="n">
        <f aca="false">M221-N221</f>
        <v>4</v>
      </c>
      <c r="P221" s="8" t="n">
        <f aca="false">IFERROR(I221/G221,0)</f>
        <v>0.782608695652174</v>
      </c>
      <c r="Q221" s="8" t="n">
        <f aca="false">IFERROR(M221/L221,0)</f>
        <v>0.570760233918129</v>
      </c>
      <c r="R221" s="8" t="n">
        <f aca="false">IFERROR(N221/M221,0)</f>
        <v>0.983606557377049</v>
      </c>
      <c r="S221" s="8" t="n">
        <f aca="false">P221*Q221*R221</f>
        <v>0.439359267734554</v>
      </c>
    </row>
    <row r="222" customFormat="false" ht="15" hidden="false" customHeight="false" outlineLevel="0" collapsed="false">
      <c r="A222" s="4" t="n">
        <v>46108</v>
      </c>
      <c r="B222" s="5" t="n">
        <f aca="false">MONTH($A222)</f>
        <v>3</v>
      </c>
      <c r="C222" s="5" t="n">
        <v>1</v>
      </c>
      <c r="D222" s="6" t="str">
        <f aca="false">INDEX(Parametros!$B$16:$B$18,MATCH($C222,Parametros!$A$16:$A$18,0))</f>
        <v>E1 - Lavado y sanitizado de bidones</v>
      </c>
      <c r="E222" s="7" t="n">
        <f aca="false">IF(WEEKDAY($A222,2)&lt;6,Parametros!$B$21,Parametros!$B$22)</f>
        <v>6</v>
      </c>
      <c r="F222" s="7" t="n">
        <v>0.5</v>
      </c>
      <c r="G222" s="7" t="n">
        <f aca="false">E222-F222</f>
        <v>5.5</v>
      </c>
      <c r="H222" s="7" t="n">
        <v>0</v>
      </c>
      <c r="I222" s="7" t="n">
        <f aca="false">G222-H222</f>
        <v>5.5</v>
      </c>
      <c r="J222" s="6" t="s">
        <v>27</v>
      </c>
      <c r="K222" s="5" t="n">
        <f aca="false">INDEX(Parametros!$C$16:$C$18,MATCH($C222,Parametros!$A$16:$A$18,0))</f>
        <v>100</v>
      </c>
      <c r="L222" s="5" t="n">
        <f aca="false">I222*K222</f>
        <v>550</v>
      </c>
      <c r="M222" s="5" t="n">
        <v>351</v>
      </c>
      <c r="N222" s="5" t="n">
        <v>347</v>
      </c>
      <c r="O222" s="5" t="n">
        <f aca="false">M222-N222</f>
        <v>4</v>
      </c>
      <c r="P222" s="8" t="n">
        <f aca="false">IFERROR(I222/G222,0)</f>
        <v>1</v>
      </c>
      <c r="Q222" s="8" t="n">
        <f aca="false">IFERROR(M222/L222,0)</f>
        <v>0.638181818181818</v>
      </c>
      <c r="R222" s="8" t="n">
        <f aca="false">IFERROR(N222/M222,0)</f>
        <v>0.988603988603989</v>
      </c>
      <c r="S222" s="8" t="n">
        <f aca="false">P222*Q222*R222</f>
        <v>0.630909090909091</v>
      </c>
    </row>
    <row r="223" customFormat="false" ht="15" hidden="false" customHeight="false" outlineLevel="0" collapsed="false">
      <c r="A223" s="4" t="n">
        <v>46108</v>
      </c>
      <c r="B223" s="5" t="n">
        <f aca="false">MONTH($A223)</f>
        <v>3</v>
      </c>
      <c r="C223" s="5" t="n">
        <v>2</v>
      </c>
      <c r="D223" s="6" t="str">
        <f aca="false">INDEX(Parametros!$B$16:$B$18,MATCH($C223,Parametros!$A$16:$A$18,0))</f>
        <v>E2 - Llenado y tapado</v>
      </c>
      <c r="E223" s="7" t="n">
        <f aca="false">IF(WEEKDAY($A223,2)&lt;6,Parametros!$B$21,Parametros!$B$22)</f>
        <v>6</v>
      </c>
      <c r="F223" s="7" t="n">
        <v>0.75</v>
      </c>
      <c r="G223" s="7" t="n">
        <f aca="false">E223-F223</f>
        <v>5.25</v>
      </c>
      <c r="H223" s="7" t="n">
        <v>0.5</v>
      </c>
      <c r="I223" s="7" t="n">
        <f aca="false">G223-H223</f>
        <v>4.75</v>
      </c>
      <c r="J223" s="6" t="s">
        <v>30</v>
      </c>
      <c r="K223" s="5" t="n">
        <f aca="false">INDEX(Parametros!$C$16:$C$18,MATCH($C223,Parametros!$A$16:$A$18,0))</f>
        <v>95</v>
      </c>
      <c r="L223" s="5" t="n">
        <f aca="false">I223*K223</f>
        <v>451.25</v>
      </c>
      <c r="M223" s="5" t="n">
        <v>347</v>
      </c>
      <c r="N223" s="5" t="n">
        <v>341</v>
      </c>
      <c r="O223" s="5" t="n">
        <f aca="false">M223-N223</f>
        <v>6</v>
      </c>
      <c r="P223" s="8" t="n">
        <f aca="false">IFERROR(I223/G223,0)</f>
        <v>0.904761904761905</v>
      </c>
      <c r="Q223" s="8" t="n">
        <f aca="false">IFERROR(M223/L223,0)</f>
        <v>0.768975069252078</v>
      </c>
      <c r="R223" s="8" t="n">
        <f aca="false">IFERROR(N223/M223,0)</f>
        <v>0.982708933717579</v>
      </c>
      <c r="S223" s="8" t="n">
        <f aca="false">P223*Q223*R223</f>
        <v>0.683709273182957</v>
      </c>
    </row>
    <row r="224" customFormat="false" ht="15" hidden="false" customHeight="false" outlineLevel="0" collapsed="false">
      <c r="A224" s="4" t="n">
        <v>46108</v>
      </c>
      <c r="B224" s="5" t="n">
        <f aca="false">MONTH($A224)</f>
        <v>3</v>
      </c>
      <c r="C224" s="5" t="n">
        <v>3</v>
      </c>
      <c r="D224" s="6" t="str">
        <f aca="false">INDEX(Parametros!$B$16:$B$18,MATCH($C224,Parametros!$A$16:$A$18,0))</f>
        <v>E3 - Sellado y etiquetado</v>
      </c>
      <c r="E224" s="7" t="n">
        <f aca="false">IF(WEEKDAY($A224,2)&lt;6,Parametros!$B$21,Parametros!$B$22)</f>
        <v>6</v>
      </c>
      <c r="F224" s="7" t="n">
        <v>0.25</v>
      </c>
      <c r="G224" s="7" t="n">
        <f aca="false">E224-F224</f>
        <v>5.75</v>
      </c>
      <c r="H224" s="7" t="n">
        <v>0</v>
      </c>
      <c r="I224" s="7" t="n">
        <f aca="false">G224-H224</f>
        <v>5.75</v>
      </c>
      <c r="J224" s="6" t="s">
        <v>27</v>
      </c>
      <c r="K224" s="5" t="n">
        <f aca="false">INDEX(Parametros!$C$16:$C$18,MATCH($C224,Parametros!$A$16:$A$18,0))</f>
        <v>95</v>
      </c>
      <c r="L224" s="5" t="n">
        <f aca="false">I224*K224</f>
        <v>546.25</v>
      </c>
      <c r="M224" s="5" t="n">
        <v>341</v>
      </c>
      <c r="N224" s="5" t="n">
        <v>336</v>
      </c>
      <c r="O224" s="5" t="n">
        <f aca="false">M224-N224</f>
        <v>5</v>
      </c>
      <c r="P224" s="8" t="n">
        <f aca="false">IFERROR(I224/G224,0)</f>
        <v>1</v>
      </c>
      <c r="Q224" s="8" t="n">
        <f aca="false">IFERROR(M224/L224,0)</f>
        <v>0.624256292906179</v>
      </c>
      <c r="R224" s="8" t="n">
        <f aca="false">IFERROR(N224/M224,0)</f>
        <v>0.98533724340176</v>
      </c>
      <c r="S224" s="8" t="n">
        <f aca="false">P224*Q224*R224</f>
        <v>0.615102974828375</v>
      </c>
    </row>
    <row r="225" customFormat="false" ht="15" hidden="false" customHeight="false" outlineLevel="0" collapsed="false">
      <c r="A225" s="4" t="n">
        <v>46109</v>
      </c>
      <c r="B225" s="5" t="n">
        <f aca="false">MONTH($A225)</f>
        <v>3</v>
      </c>
      <c r="C225" s="5" t="n">
        <v>1</v>
      </c>
      <c r="D225" s="6" t="str">
        <f aca="false">INDEX(Parametros!$B$16:$B$18,MATCH($C225,Parametros!$A$16:$A$18,0))</f>
        <v>E1 - Lavado y sanitizado de bidones</v>
      </c>
      <c r="E225" s="7" t="n">
        <f aca="false">IF(WEEKDAY($A225,2)&lt;6,Parametros!$B$21,Parametros!$B$22)</f>
        <v>4</v>
      </c>
      <c r="F225" s="7" t="n">
        <v>0.75</v>
      </c>
      <c r="G225" s="7" t="n">
        <f aca="false">E225-F225</f>
        <v>3.25</v>
      </c>
      <c r="H225" s="7" t="n">
        <v>0</v>
      </c>
      <c r="I225" s="7" t="n">
        <f aca="false">G225-H225</f>
        <v>3.25</v>
      </c>
      <c r="J225" s="6" t="s">
        <v>27</v>
      </c>
      <c r="K225" s="5" t="n">
        <f aca="false">INDEX(Parametros!$C$16:$C$18,MATCH($C225,Parametros!$A$16:$A$18,0))</f>
        <v>100</v>
      </c>
      <c r="L225" s="5" t="n">
        <f aca="false">I225*K225</f>
        <v>325</v>
      </c>
      <c r="M225" s="5" t="n">
        <v>184</v>
      </c>
      <c r="N225" s="5" t="n">
        <v>181</v>
      </c>
      <c r="O225" s="5" t="n">
        <f aca="false">M225-N225</f>
        <v>3</v>
      </c>
      <c r="P225" s="8" t="n">
        <f aca="false">IFERROR(I225/G225,0)</f>
        <v>1</v>
      </c>
      <c r="Q225" s="8" t="n">
        <f aca="false">IFERROR(M225/L225,0)</f>
        <v>0.566153846153846</v>
      </c>
      <c r="R225" s="8" t="n">
        <f aca="false">IFERROR(N225/M225,0)</f>
        <v>0.983695652173913</v>
      </c>
      <c r="S225" s="8" t="n">
        <f aca="false">P225*Q225*R225</f>
        <v>0.556923076923077</v>
      </c>
    </row>
    <row r="226" customFormat="false" ht="15" hidden="false" customHeight="false" outlineLevel="0" collapsed="false">
      <c r="A226" s="4" t="n">
        <v>46109</v>
      </c>
      <c r="B226" s="5" t="n">
        <f aca="false">MONTH($A226)</f>
        <v>3</v>
      </c>
      <c r="C226" s="5" t="n">
        <v>2</v>
      </c>
      <c r="D226" s="6" t="str">
        <f aca="false">INDEX(Parametros!$B$16:$B$18,MATCH($C226,Parametros!$A$16:$A$18,0))</f>
        <v>E2 - Llenado y tapado</v>
      </c>
      <c r="E226" s="7" t="n">
        <f aca="false">IF(WEEKDAY($A226,2)&lt;6,Parametros!$B$21,Parametros!$B$22)</f>
        <v>4</v>
      </c>
      <c r="F226" s="7" t="n">
        <v>1.25</v>
      </c>
      <c r="G226" s="7" t="n">
        <f aca="false">E226-F226</f>
        <v>2.75</v>
      </c>
      <c r="H226" s="7" t="n">
        <v>0.75</v>
      </c>
      <c r="I226" s="7" t="n">
        <f aca="false">G226-H226</f>
        <v>2</v>
      </c>
      <c r="J226" s="6" t="s">
        <v>28</v>
      </c>
      <c r="K226" s="5" t="n">
        <f aca="false">INDEX(Parametros!$C$16:$C$18,MATCH($C226,Parametros!$A$16:$A$18,0))</f>
        <v>95</v>
      </c>
      <c r="L226" s="5" t="n">
        <f aca="false">I226*K226</f>
        <v>190</v>
      </c>
      <c r="M226" s="5" t="n">
        <v>181</v>
      </c>
      <c r="N226" s="5" t="n">
        <v>177</v>
      </c>
      <c r="O226" s="5" t="n">
        <f aca="false">M226-N226</f>
        <v>4</v>
      </c>
      <c r="P226" s="8" t="n">
        <f aca="false">IFERROR(I226/G226,0)</f>
        <v>0.727272727272727</v>
      </c>
      <c r="Q226" s="8" t="n">
        <f aca="false">IFERROR(M226/L226,0)</f>
        <v>0.952631578947368</v>
      </c>
      <c r="R226" s="8" t="n">
        <f aca="false">IFERROR(N226/M226,0)</f>
        <v>0.977900552486188</v>
      </c>
      <c r="S226" s="8" t="n">
        <f aca="false">P226*Q226*R226</f>
        <v>0.677511961722488</v>
      </c>
    </row>
    <row r="227" customFormat="false" ht="15" hidden="false" customHeight="false" outlineLevel="0" collapsed="false">
      <c r="A227" s="4" t="n">
        <v>46109</v>
      </c>
      <c r="B227" s="5" t="n">
        <f aca="false">MONTH($A227)</f>
        <v>3</v>
      </c>
      <c r="C227" s="5" t="n">
        <v>3</v>
      </c>
      <c r="D227" s="6" t="str">
        <f aca="false">INDEX(Parametros!$B$16:$B$18,MATCH($C227,Parametros!$A$16:$A$18,0))</f>
        <v>E3 - Sellado y etiquetado</v>
      </c>
      <c r="E227" s="7" t="n">
        <f aca="false">IF(WEEKDAY($A227,2)&lt;6,Parametros!$B$21,Parametros!$B$22)</f>
        <v>4</v>
      </c>
      <c r="F227" s="7" t="n">
        <v>0.5</v>
      </c>
      <c r="G227" s="7" t="n">
        <f aca="false">E227-F227</f>
        <v>3.5</v>
      </c>
      <c r="H227" s="7" t="n">
        <v>0</v>
      </c>
      <c r="I227" s="7" t="n">
        <f aca="false">G227-H227</f>
        <v>3.5</v>
      </c>
      <c r="J227" s="6" t="s">
        <v>27</v>
      </c>
      <c r="K227" s="5" t="n">
        <f aca="false">INDEX(Parametros!$C$16:$C$18,MATCH($C227,Parametros!$A$16:$A$18,0))</f>
        <v>95</v>
      </c>
      <c r="L227" s="5" t="n">
        <f aca="false">I227*K227</f>
        <v>332.5</v>
      </c>
      <c r="M227" s="5" t="n">
        <v>177</v>
      </c>
      <c r="N227" s="5" t="n">
        <v>175</v>
      </c>
      <c r="O227" s="5" t="n">
        <f aca="false">M227-N227</f>
        <v>2</v>
      </c>
      <c r="P227" s="8" t="n">
        <f aca="false">IFERROR(I227/G227,0)</f>
        <v>1</v>
      </c>
      <c r="Q227" s="8" t="n">
        <f aca="false">IFERROR(M227/L227,0)</f>
        <v>0.532330827067669</v>
      </c>
      <c r="R227" s="8" t="n">
        <f aca="false">IFERROR(N227/M227,0)</f>
        <v>0.988700564971751</v>
      </c>
      <c r="S227" s="8" t="n">
        <f aca="false">P227*Q227*R227</f>
        <v>0.526315789473684</v>
      </c>
    </row>
    <row r="228" customFormat="false" ht="15" hidden="false" customHeight="false" outlineLevel="0" collapsed="false">
      <c r="A228" s="4" t="n">
        <v>46111</v>
      </c>
      <c r="B228" s="5" t="n">
        <f aca="false">MONTH($A228)</f>
        <v>3</v>
      </c>
      <c r="C228" s="5" t="n">
        <v>1</v>
      </c>
      <c r="D228" s="6" t="str">
        <f aca="false">INDEX(Parametros!$B$16:$B$18,MATCH($C228,Parametros!$A$16:$A$18,0))</f>
        <v>E1 - Lavado y sanitizado de bidones</v>
      </c>
      <c r="E228" s="7" t="n">
        <f aca="false">IF(WEEKDAY($A228,2)&lt;6,Parametros!$B$21,Parametros!$B$22)</f>
        <v>6</v>
      </c>
      <c r="F228" s="7" t="n">
        <v>0.5</v>
      </c>
      <c r="G228" s="7" t="n">
        <f aca="false">E228-F228</f>
        <v>5.5</v>
      </c>
      <c r="H228" s="7" t="n">
        <v>0</v>
      </c>
      <c r="I228" s="7" t="n">
        <f aca="false">G228-H228</f>
        <v>5.5</v>
      </c>
      <c r="J228" s="6" t="s">
        <v>27</v>
      </c>
      <c r="K228" s="5" t="n">
        <f aca="false">INDEX(Parametros!$C$16:$C$18,MATCH($C228,Parametros!$A$16:$A$18,0))</f>
        <v>100</v>
      </c>
      <c r="L228" s="5" t="n">
        <f aca="false">I228*K228</f>
        <v>550</v>
      </c>
      <c r="M228" s="5" t="n">
        <v>359</v>
      </c>
      <c r="N228" s="5" t="n">
        <v>354</v>
      </c>
      <c r="O228" s="5" t="n">
        <f aca="false">M228-N228</f>
        <v>5</v>
      </c>
      <c r="P228" s="8" t="n">
        <f aca="false">IFERROR(I228/G228,0)</f>
        <v>1</v>
      </c>
      <c r="Q228" s="8" t="n">
        <f aca="false">IFERROR(M228/L228,0)</f>
        <v>0.652727272727273</v>
      </c>
      <c r="R228" s="8" t="n">
        <f aca="false">IFERROR(N228/M228,0)</f>
        <v>0.986072423398329</v>
      </c>
      <c r="S228" s="8" t="n">
        <f aca="false">P228*Q228*R228</f>
        <v>0.643636363636364</v>
      </c>
    </row>
    <row r="229" customFormat="false" ht="15" hidden="false" customHeight="false" outlineLevel="0" collapsed="false">
      <c r="A229" s="4" t="n">
        <v>46111</v>
      </c>
      <c r="B229" s="5" t="n">
        <f aca="false">MONTH($A229)</f>
        <v>3</v>
      </c>
      <c r="C229" s="5" t="n">
        <v>2</v>
      </c>
      <c r="D229" s="6" t="str">
        <f aca="false">INDEX(Parametros!$B$16:$B$18,MATCH($C229,Parametros!$A$16:$A$18,0))</f>
        <v>E2 - Llenado y tapado</v>
      </c>
      <c r="E229" s="7" t="n">
        <f aca="false">IF(WEEKDAY($A229,2)&lt;6,Parametros!$B$21,Parametros!$B$22)</f>
        <v>6</v>
      </c>
      <c r="F229" s="7" t="n">
        <v>0.75</v>
      </c>
      <c r="G229" s="7" t="n">
        <f aca="false">E229-F229</f>
        <v>5.25</v>
      </c>
      <c r="H229" s="7" t="n">
        <v>0</v>
      </c>
      <c r="I229" s="7" t="n">
        <f aca="false">G229-H229</f>
        <v>5.25</v>
      </c>
      <c r="J229" s="6" t="s">
        <v>27</v>
      </c>
      <c r="K229" s="5" t="n">
        <f aca="false">INDEX(Parametros!$C$16:$C$18,MATCH($C229,Parametros!$A$16:$A$18,0))</f>
        <v>95</v>
      </c>
      <c r="L229" s="5" t="n">
        <f aca="false">I229*K229</f>
        <v>498.75</v>
      </c>
      <c r="M229" s="5" t="n">
        <v>354</v>
      </c>
      <c r="N229" s="5" t="n">
        <v>348</v>
      </c>
      <c r="O229" s="5" t="n">
        <f aca="false">M229-N229</f>
        <v>6</v>
      </c>
      <c r="P229" s="8" t="n">
        <f aca="false">IFERROR(I229/G229,0)</f>
        <v>1</v>
      </c>
      <c r="Q229" s="8" t="n">
        <f aca="false">IFERROR(M229/L229,0)</f>
        <v>0.709774436090226</v>
      </c>
      <c r="R229" s="8" t="n">
        <f aca="false">IFERROR(N229/M229,0)</f>
        <v>0.983050847457627</v>
      </c>
      <c r="S229" s="8" t="n">
        <f aca="false">P229*Q229*R229</f>
        <v>0.697744360902256</v>
      </c>
    </row>
    <row r="230" customFormat="false" ht="15" hidden="false" customHeight="false" outlineLevel="0" collapsed="false">
      <c r="A230" s="4" t="n">
        <v>46111</v>
      </c>
      <c r="B230" s="5" t="n">
        <f aca="false">MONTH($A230)</f>
        <v>3</v>
      </c>
      <c r="C230" s="5" t="n">
        <v>3</v>
      </c>
      <c r="D230" s="6" t="str">
        <f aca="false">INDEX(Parametros!$B$16:$B$18,MATCH($C230,Parametros!$A$16:$A$18,0))</f>
        <v>E3 - Sellado y etiquetado</v>
      </c>
      <c r="E230" s="7" t="n">
        <f aca="false">IF(WEEKDAY($A230,2)&lt;6,Parametros!$B$21,Parametros!$B$22)</f>
        <v>6</v>
      </c>
      <c r="F230" s="7" t="n">
        <v>0.25</v>
      </c>
      <c r="G230" s="7" t="n">
        <f aca="false">E230-F230</f>
        <v>5.75</v>
      </c>
      <c r="H230" s="7" t="n">
        <v>0.25</v>
      </c>
      <c r="I230" s="7" t="n">
        <f aca="false">G230-H230</f>
        <v>5.5</v>
      </c>
      <c r="J230" s="6" t="s">
        <v>23</v>
      </c>
      <c r="K230" s="5" t="n">
        <f aca="false">INDEX(Parametros!$C$16:$C$18,MATCH($C230,Parametros!$A$16:$A$18,0))</f>
        <v>95</v>
      </c>
      <c r="L230" s="5" t="n">
        <f aca="false">I230*K230</f>
        <v>522.5</v>
      </c>
      <c r="M230" s="5" t="n">
        <v>348</v>
      </c>
      <c r="N230" s="5" t="n">
        <v>347</v>
      </c>
      <c r="O230" s="5" t="n">
        <f aca="false">M230-N230</f>
        <v>1</v>
      </c>
      <c r="P230" s="8" t="n">
        <f aca="false">IFERROR(I230/G230,0)</f>
        <v>0.956521739130435</v>
      </c>
      <c r="Q230" s="8" t="n">
        <f aca="false">IFERROR(M230/L230,0)</f>
        <v>0.666028708133971</v>
      </c>
      <c r="R230" s="8" t="n">
        <f aca="false">IFERROR(N230/M230,0)</f>
        <v>0.997126436781609</v>
      </c>
      <c r="S230" s="8" t="n">
        <f aca="false">P230*Q230*R230</f>
        <v>0.635240274599542</v>
      </c>
    </row>
    <row r="231" customFormat="false" ht="15" hidden="false" customHeight="false" outlineLevel="0" collapsed="false">
      <c r="A231" s="4" t="n">
        <v>46112</v>
      </c>
      <c r="B231" s="5" t="n">
        <f aca="false">MONTH($A231)</f>
        <v>3</v>
      </c>
      <c r="C231" s="5" t="n">
        <v>1</v>
      </c>
      <c r="D231" s="6" t="str">
        <f aca="false">INDEX(Parametros!$B$16:$B$18,MATCH($C231,Parametros!$A$16:$A$18,0))</f>
        <v>E1 - Lavado y sanitizado de bidones</v>
      </c>
      <c r="E231" s="7" t="n">
        <f aca="false">IF(WEEKDAY($A231,2)&lt;6,Parametros!$B$21,Parametros!$B$22)</f>
        <v>6</v>
      </c>
      <c r="F231" s="7" t="n">
        <v>0.5</v>
      </c>
      <c r="G231" s="7" t="n">
        <f aca="false">E231-F231</f>
        <v>5.5</v>
      </c>
      <c r="H231" s="7" t="n">
        <v>0.25</v>
      </c>
      <c r="I231" s="7" t="n">
        <f aca="false">G231-H231</f>
        <v>5.25</v>
      </c>
      <c r="J231" s="6" t="s">
        <v>22</v>
      </c>
      <c r="K231" s="5" t="n">
        <f aca="false">INDEX(Parametros!$C$16:$C$18,MATCH($C231,Parametros!$A$16:$A$18,0))</f>
        <v>100</v>
      </c>
      <c r="L231" s="5" t="n">
        <f aca="false">I231*K231</f>
        <v>525</v>
      </c>
      <c r="M231" s="5" t="n">
        <v>335</v>
      </c>
      <c r="N231" s="5" t="n">
        <v>330</v>
      </c>
      <c r="O231" s="5" t="n">
        <f aca="false">M231-N231</f>
        <v>5</v>
      </c>
      <c r="P231" s="8" t="n">
        <f aca="false">IFERROR(I231/G231,0)</f>
        <v>0.954545454545455</v>
      </c>
      <c r="Q231" s="8" t="n">
        <f aca="false">IFERROR(M231/L231,0)</f>
        <v>0.638095238095238</v>
      </c>
      <c r="R231" s="8" t="n">
        <f aca="false">IFERROR(N231/M231,0)</f>
        <v>0.985074626865672</v>
      </c>
      <c r="S231" s="8" t="n">
        <f aca="false">P231*Q231*R231</f>
        <v>0.6</v>
      </c>
    </row>
    <row r="232" customFormat="false" ht="15" hidden="false" customHeight="false" outlineLevel="0" collapsed="false">
      <c r="A232" s="4" t="n">
        <v>46112</v>
      </c>
      <c r="B232" s="5" t="n">
        <f aca="false">MONTH($A232)</f>
        <v>3</v>
      </c>
      <c r="C232" s="5" t="n">
        <v>2</v>
      </c>
      <c r="D232" s="6" t="str">
        <f aca="false">INDEX(Parametros!$B$16:$B$18,MATCH($C232,Parametros!$A$16:$A$18,0))</f>
        <v>E2 - Llenado y tapado</v>
      </c>
      <c r="E232" s="7" t="n">
        <f aca="false">IF(WEEKDAY($A232,2)&lt;6,Parametros!$B$21,Parametros!$B$22)</f>
        <v>6</v>
      </c>
      <c r="F232" s="7" t="n">
        <v>0.75</v>
      </c>
      <c r="G232" s="7" t="n">
        <f aca="false">E232-F232</f>
        <v>5.25</v>
      </c>
      <c r="H232" s="7" t="n">
        <v>1.25</v>
      </c>
      <c r="I232" s="7" t="n">
        <f aca="false">G232-H232</f>
        <v>4</v>
      </c>
      <c r="J232" s="6" t="s">
        <v>26</v>
      </c>
      <c r="K232" s="5" t="n">
        <f aca="false">INDEX(Parametros!$C$16:$C$18,MATCH($C232,Parametros!$A$16:$A$18,0))</f>
        <v>95</v>
      </c>
      <c r="L232" s="5" t="n">
        <f aca="false">I232*K232</f>
        <v>380</v>
      </c>
      <c r="M232" s="5" t="n">
        <v>330</v>
      </c>
      <c r="N232" s="5" t="n">
        <v>326</v>
      </c>
      <c r="O232" s="5" t="n">
        <f aca="false">M232-N232</f>
        <v>4</v>
      </c>
      <c r="P232" s="8" t="n">
        <f aca="false">IFERROR(I232/G232,0)</f>
        <v>0.761904761904762</v>
      </c>
      <c r="Q232" s="8" t="n">
        <f aca="false">IFERROR(M232/L232,0)</f>
        <v>0.868421052631579</v>
      </c>
      <c r="R232" s="8" t="n">
        <f aca="false">IFERROR(N232/M232,0)</f>
        <v>0.987878787878788</v>
      </c>
      <c r="S232" s="8" t="n">
        <f aca="false">P232*Q232*R232</f>
        <v>0.653634085213033</v>
      </c>
    </row>
    <row r="233" customFormat="false" ht="15" hidden="false" customHeight="false" outlineLevel="0" collapsed="false">
      <c r="A233" s="4" t="n">
        <v>46112</v>
      </c>
      <c r="B233" s="5" t="n">
        <f aca="false">MONTH($A233)</f>
        <v>3</v>
      </c>
      <c r="C233" s="5" t="n">
        <v>3</v>
      </c>
      <c r="D233" s="6" t="str">
        <f aca="false">INDEX(Parametros!$B$16:$B$18,MATCH($C233,Parametros!$A$16:$A$18,0))</f>
        <v>E3 - Sellado y etiquetado</v>
      </c>
      <c r="E233" s="7" t="n">
        <f aca="false">IF(WEEKDAY($A233,2)&lt;6,Parametros!$B$21,Parametros!$B$22)</f>
        <v>6</v>
      </c>
      <c r="F233" s="7" t="n">
        <v>0.25</v>
      </c>
      <c r="G233" s="7" t="n">
        <f aca="false">E233-F233</f>
        <v>5.75</v>
      </c>
      <c r="H233" s="7" t="n">
        <v>0.25</v>
      </c>
      <c r="I233" s="7" t="n">
        <f aca="false">G233-H233</f>
        <v>5.5</v>
      </c>
      <c r="J233" s="6" t="s">
        <v>23</v>
      </c>
      <c r="K233" s="5" t="n">
        <f aca="false">INDEX(Parametros!$C$16:$C$18,MATCH($C233,Parametros!$A$16:$A$18,0))</f>
        <v>95</v>
      </c>
      <c r="L233" s="5" t="n">
        <f aca="false">I233*K233</f>
        <v>522.5</v>
      </c>
      <c r="M233" s="5" t="n">
        <v>326</v>
      </c>
      <c r="N233" s="5" t="n">
        <v>323</v>
      </c>
      <c r="O233" s="5" t="n">
        <f aca="false">M233-N233</f>
        <v>3</v>
      </c>
      <c r="P233" s="8" t="n">
        <f aca="false">IFERROR(I233/G233,0)</f>
        <v>0.956521739130435</v>
      </c>
      <c r="Q233" s="8" t="n">
        <f aca="false">IFERROR(M233/L233,0)</f>
        <v>0.623923444976077</v>
      </c>
      <c r="R233" s="8" t="n">
        <f aca="false">IFERROR(N233/M233,0)</f>
        <v>0.99079754601227</v>
      </c>
      <c r="S233" s="8" t="n">
        <f aca="false">P233*Q233*R233</f>
        <v>0.591304347826087</v>
      </c>
    </row>
    <row r="234" customFormat="false" ht="15" hidden="false" customHeight="false" outlineLevel="0" collapsed="false">
      <c r="A234" s="4" t="n">
        <v>46113</v>
      </c>
      <c r="B234" s="5" t="n">
        <f aca="false">MONTH($A234)</f>
        <v>4</v>
      </c>
      <c r="C234" s="5" t="n">
        <v>1</v>
      </c>
      <c r="D234" s="6" t="str">
        <f aca="false">INDEX(Parametros!$B$16:$B$18,MATCH($C234,Parametros!$A$16:$A$18,0))</f>
        <v>E1 - Lavado y sanitizado de bidones</v>
      </c>
      <c r="E234" s="7" t="n">
        <f aca="false">IF(WEEKDAY($A234,2)&lt;6,Parametros!$B$21,Parametros!$B$22)</f>
        <v>6</v>
      </c>
      <c r="F234" s="7" t="n">
        <v>0.5</v>
      </c>
      <c r="G234" s="7" t="n">
        <f aca="false">E234-F234</f>
        <v>5.5</v>
      </c>
      <c r="H234" s="7" t="n">
        <v>0.5</v>
      </c>
      <c r="I234" s="7" t="n">
        <f aca="false">G234-H234</f>
        <v>5</v>
      </c>
      <c r="J234" s="6" t="s">
        <v>24</v>
      </c>
      <c r="K234" s="5" t="n">
        <f aca="false">INDEX(Parametros!$C$16:$C$18,MATCH($C234,Parametros!$A$16:$A$18,0))</f>
        <v>100</v>
      </c>
      <c r="L234" s="5" t="n">
        <f aca="false">I234*K234</f>
        <v>500</v>
      </c>
      <c r="M234" s="5" t="n">
        <v>326</v>
      </c>
      <c r="N234" s="5" t="n">
        <v>324</v>
      </c>
      <c r="O234" s="5" t="n">
        <f aca="false">M234-N234</f>
        <v>2</v>
      </c>
      <c r="P234" s="8" t="n">
        <f aca="false">IFERROR(I234/G234,0)</f>
        <v>0.909090909090909</v>
      </c>
      <c r="Q234" s="8" t="n">
        <f aca="false">IFERROR(M234/L234,0)</f>
        <v>0.652</v>
      </c>
      <c r="R234" s="8" t="n">
        <f aca="false">IFERROR(N234/M234,0)</f>
        <v>0.993865030674847</v>
      </c>
      <c r="S234" s="8" t="n">
        <f aca="false">P234*Q234*R234</f>
        <v>0.589090909090909</v>
      </c>
    </row>
    <row r="235" customFormat="false" ht="15" hidden="false" customHeight="false" outlineLevel="0" collapsed="false">
      <c r="A235" s="4" t="n">
        <v>46113</v>
      </c>
      <c r="B235" s="5" t="n">
        <f aca="false">MONTH($A235)</f>
        <v>4</v>
      </c>
      <c r="C235" s="5" t="n">
        <v>2</v>
      </c>
      <c r="D235" s="6" t="str">
        <f aca="false">INDEX(Parametros!$B$16:$B$18,MATCH($C235,Parametros!$A$16:$A$18,0))</f>
        <v>E2 - Llenado y tapado</v>
      </c>
      <c r="E235" s="7" t="n">
        <f aca="false">IF(WEEKDAY($A235,2)&lt;6,Parametros!$B$21,Parametros!$B$22)</f>
        <v>6</v>
      </c>
      <c r="F235" s="7" t="n">
        <v>0.75</v>
      </c>
      <c r="G235" s="7" t="n">
        <f aca="false">E235-F235</f>
        <v>5.25</v>
      </c>
      <c r="H235" s="7" t="n">
        <v>0.5</v>
      </c>
      <c r="I235" s="7" t="n">
        <f aca="false">G235-H235</f>
        <v>4.75</v>
      </c>
      <c r="J235" s="6" t="s">
        <v>26</v>
      </c>
      <c r="K235" s="5" t="n">
        <f aca="false">INDEX(Parametros!$C$16:$C$18,MATCH($C235,Parametros!$A$16:$A$18,0))</f>
        <v>95</v>
      </c>
      <c r="L235" s="5" t="n">
        <f aca="false">I235*K235</f>
        <v>451.25</v>
      </c>
      <c r="M235" s="5" t="n">
        <v>324</v>
      </c>
      <c r="N235" s="5" t="n">
        <v>317</v>
      </c>
      <c r="O235" s="5" t="n">
        <f aca="false">M235-N235</f>
        <v>7</v>
      </c>
      <c r="P235" s="8" t="n">
        <f aca="false">IFERROR(I235/G235,0)</f>
        <v>0.904761904761905</v>
      </c>
      <c r="Q235" s="8" t="n">
        <f aca="false">IFERROR(M235/L235,0)</f>
        <v>0.718005540166205</v>
      </c>
      <c r="R235" s="8" t="n">
        <f aca="false">IFERROR(N235/M235,0)</f>
        <v>0.978395061728395</v>
      </c>
      <c r="S235" s="8" t="n">
        <f aca="false">P235*Q235*R235</f>
        <v>0.635588972431078</v>
      </c>
    </row>
    <row r="236" customFormat="false" ht="15" hidden="false" customHeight="false" outlineLevel="0" collapsed="false">
      <c r="A236" s="4" t="n">
        <v>46113</v>
      </c>
      <c r="B236" s="5" t="n">
        <f aca="false">MONTH($A236)</f>
        <v>4</v>
      </c>
      <c r="C236" s="5" t="n">
        <v>3</v>
      </c>
      <c r="D236" s="6" t="str">
        <f aca="false">INDEX(Parametros!$B$16:$B$18,MATCH($C236,Parametros!$A$16:$A$18,0))</f>
        <v>E3 - Sellado y etiquetado</v>
      </c>
      <c r="E236" s="7" t="n">
        <f aca="false">IF(WEEKDAY($A236,2)&lt;6,Parametros!$B$21,Parametros!$B$22)</f>
        <v>6</v>
      </c>
      <c r="F236" s="7" t="n">
        <v>0.25</v>
      </c>
      <c r="G236" s="7" t="n">
        <f aca="false">E236-F236</f>
        <v>5.75</v>
      </c>
      <c r="H236" s="7" t="n">
        <v>0</v>
      </c>
      <c r="I236" s="7" t="n">
        <f aca="false">G236-H236</f>
        <v>5.75</v>
      </c>
      <c r="J236" s="6" t="s">
        <v>27</v>
      </c>
      <c r="K236" s="5" t="n">
        <f aca="false">INDEX(Parametros!$C$16:$C$18,MATCH($C236,Parametros!$A$16:$A$18,0))</f>
        <v>95</v>
      </c>
      <c r="L236" s="5" t="n">
        <f aca="false">I236*K236</f>
        <v>546.25</v>
      </c>
      <c r="M236" s="5" t="n">
        <v>317</v>
      </c>
      <c r="N236" s="5" t="n">
        <v>313</v>
      </c>
      <c r="O236" s="5" t="n">
        <f aca="false">M236-N236</f>
        <v>4</v>
      </c>
      <c r="P236" s="8" t="n">
        <f aca="false">IFERROR(I236/G236,0)</f>
        <v>1</v>
      </c>
      <c r="Q236" s="8" t="n">
        <f aca="false">IFERROR(M236/L236,0)</f>
        <v>0.580320366132723</v>
      </c>
      <c r="R236" s="8" t="n">
        <f aca="false">IFERROR(N236/M236,0)</f>
        <v>0.987381703470032</v>
      </c>
      <c r="S236" s="8" t="n">
        <f aca="false">P236*Q236*R236</f>
        <v>0.572997711670481</v>
      </c>
    </row>
    <row r="237" customFormat="false" ht="15" hidden="false" customHeight="false" outlineLevel="0" collapsed="false">
      <c r="A237" s="4" t="n">
        <v>46116</v>
      </c>
      <c r="B237" s="5" t="n">
        <f aca="false">MONTH($A237)</f>
        <v>4</v>
      </c>
      <c r="C237" s="5" t="n">
        <v>1</v>
      </c>
      <c r="D237" s="6" t="str">
        <f aca="false">INDEX(Parametros!$B$16:$B$18,MATCH($C237,Parametros!$A$16:$A$18,0))</f>
        <v>E1 - Lavado y sanitizado de bidones</v>
      </c>
      <c r="E237" s="7" t="n">
        <f aca="false">IF(WEEKDAY($A237,2)&lt;6,Parametros!$B$21,Parametros!$B$22)</f>
        <v>4</v>
      </c>
      <c r="F237" s="7" t="n">
        <v>0.75</v>
      </c>
      <c r="G237" s="7" t="n">
        <f aca="false">E237-F237</f>
        <v>3.25</v>
      </c>
      <c r="H237" s="7" t="n">
        <v>0.75</v>
      </c>
      <c r="I237" s="7" t="n">
        <f aca="false">G237-H237</f>
        <v>2.5</v>
      </c>
      <c r="J237" s="6" t="s">
        <v>22</v>
      </c>
      <c r="K237" s="5" t="n">
        <f aca="false">INDEX(Parametros!$C$16:$C$18,MATCH($C237,Parametros!$A$16:$A$18,0))</f>
        <v>100</v>
      </c>
      <c r="L237" s="5" t="n">
        <f aca="false">I237*K237</f>
        <v>250</v>
      </c>
      <c r="M237" s="5" t="n">
        <v>199</v>
      </c>
      <c r="N237" s="5" t="n">
        <v>197</v>
      </c>
      <c r="O237" s="5" t="n">
        <f aca="false">M237-N237</f>
        <v>2</v>
      </c>
      <c r="P237" s="8" t="n">
        <f aca="false">IFERROR(I237/G237,0)</f>
        <v>0.769230769230769</v>
      </c>
      <c r="Q237" s="8" t="n">
        <f aca="false">IFERROR(M237/L237,0)</f>
        <v>0.796</v>
      </c>
      <c r="R237" s="8" t="n">
        <f aca="false">IFERROR(N237/M237,0)</f>
        <v>0.989949748743719</v>
      </c>
      <c r="S237" s="8" t="n">
        <f aca="false">P237*Q237*R237</f>
        <v>0.606153846153846</v>
      </c>
    </row>
    <row r="238" customFormat="false" ht="15" hidden="false" customHeight="false" outlineLevel="0" collapsed="false">
      <c r="A238" s="4" t="n">
        <v>46116</v>
      </c>
      <c r="B238" s="5" t="n">
        <f aca="false">MONTH($A238)</f>
        <v>4</v>
      </c>
      <c r="C238" s="5" t="n">
        <v>2</v>
      </c>
      <c r="D238" s="6" t="str">
        <f aca="false">INDEX(Parametros!$B$16:$B$18,MATCH($C238,Parametros!$A$16:$A$18,0))</f>
        <v>E2 - Llenado y tapado</v>
      </c>
      <c r="E238" s="7" t="n">
        <f aca="false">IF(WEEKDAY($A238,2)&lt;6,Parametros!$B$21,Parametros!$B$22)</f>
        <v>4</v>
      </c>
      <c r="F238" s="7" t="n">
        <v>1</v>
      </c>
      <c r="G238" s="7" t="n">
        <f aca="false">E238-F238</f>
        <v>3</v>
      </c>
      <c r="H238" s="7" t="n">
        <v>0</v>
      </c>
      <c r="I238" s="7" t="n">
        <f aca="false">G238-H238</f>
        <v>3</v>
      </c>
      <c r="J238" s="6" t="s">
        <v>27</v>
      </c>
      <c r="K238" s="5" t="n">
        <f aca="false">INDEX(Parametros!$C$16:$C$18,MATCH($C238,Parametros!$A$16:$A$18,0))</f>
        <v>95</v>
      </c>
      <c r="L238" s="5" t="n">
        <f aca="false">I238*K238</f>
        <v>285</v>
      </c>
      <c r="M238" s="5" t="n">
        <v>197</v>
      </c>
      <c r="N238" s="5" t="n">
        <v>193</v>
      </c>
      <c r="O238" s="5" t="n">
        <f aca="false">M238-N238</f>
        <v>4</v>
      </c>
      <c r="P238" s="8" t="n">
        <f aca="false">IFERROR(I238/G238,0)</f>
        <v>1</v>
      </c>
      <c r="Q238" s="8" t="n">
        <f aca="false">IFERROR(M238/L238,0)</f>
        <v>0.691228070175439</v>
      </c>
      <c r="R238" s="8" t="n">
        <f aca="false">IFERROR(N238/M238,0)</f>
        <v>0.979695431472081</v>
      </c>
      <c r="S238" s="8" t="n">
        <f aca="false">P238*Q238*R238</f>
        <v>0.677192982456141</v>
      </c>
    </row>
    <row r="239" customFormat="false" ht="15" hidden="false" customHeight="false" outlineLevel="0" collapsed="false">
      <c r="A239" s="4" t="n">
        <v>46116</v>
      </c>
      <c r="B239" s="5" t="n">
        <f aca="false">MONTH($A239)</f>
        <v>4</v>
      </c>
      <c r="C239" s="5" t="n">
        <v>3</v>
      </c>
      <c r="D239" s="6" t="str">
        <f aca="false">INDEX(Parametros!$B$16:$B$18,MATCH($C239,Parametros!$A$16:$A$18,0))</f>
        <v>E3 - Sellado y etiquetado</v>
      </c>
      <c r="E239" s="7" t="n">
        <f aca="false">IF(WEEKDAY($A239,2)&lt;6,Parametros!$B$21,Parametros!$B$22)</f>
        <v>4</v>
      </c>
      <c r="F239" s="7" t="n">
        <v>0.5</v>
      </c>
      <c r="G239" s="7" t="n">
        <f aca="false">E239-F239</f>
        <v>3.5</v>
      </c>
      <c r="H239" s="7" t="n">
        <v>0.5</v>
      </c>
      <c r="I239" s="7" t="n">
        <f aca="false">G239-H239</f>
        <v>3</v>
      </c>
      <c r="J239" s="6" t="s">
        <v>30</v>
      </c>
      <c r="K239" s="5" t="n">
        <f aca="false">INDEX(Parametros!$C$16:$C$18,MATCH($C239,Parametros!$A$16:$A$18,0))</f>
        <v>95</v>
      </c>
      <c r="L239" s="5" t="n">
        <f aca="false">I239*K239</f>
        <v>285</v>
      </c>
      <c r="M239" s="5" t="n">
        <v>193</v>
      </c>
      <c r="N239" s="5" t="n">
        <v>192</v>
      </c>
      <c r="O239" s="5" t="n">
        <f aca="false">M239-N239</f>
        <v>1</v>
      </c>
      <c r="P239" s="8" t="n">
        <f aca="false">IFERROR(I239/G239,0)</f>
        <v>0.857142857142857</v>
      </c>
      <c r="Q239" s="8" t="n">
        <f aca="false">IFERROR(M239/L239,0)</f>
        <v>0.67719298245614</v>
      </c>
      <c r="R239" s="8" t="n">
        <f aca="false">IFERROR(N239/M239,0)</f>
        <v>0.994818652849741</v>
      </c>
      <c r="S239" s="8" t="n">
        <f aca="false">P239*Q239*R239</f>
        <v>0.577443609022556</v>
      </c>
    </row>
    <row r="240" customFormat="false" ht="15" hidden="false" customHeight="false" outlineLevel="0" collapsed="false">
      <c r="A240" s="4" t="n">
        <v>46118</v>
      </c>
      <c r="B240" s="5" t="n">
        <f aca="false">MONTH($A240)</f>
        <v>4</v>
      </c>
      <c r="C240" s="5" t="n">
        <v>1</v>
      </c>
      <c r="D240" s="6" t="str">
        <f aca="false">INDEX(Parametros!$B$16:$B$18,MATCH($C240,Parametros!$A$16:$A$18,0))</f>
        <v>E1 - Lavado y sanitizado de bidones</v>
      </c>
      <c r="E240" s="7" t="n">
        <f aca="false">IF(WEEKDAY($A240,2)&lt;6,Parametros!$B$21,Parametros!$B$22)</f>
        <v>6</v>
      </c>
      <c r="F240" s="7" t="n">
        <v>0.5</v>
      </c>
      <c r="G240" s="7" t="n">
        <f aca="false">E240-F240</f>
        <v>5.5</v>
      </c>
      <c r="H240" s="7" t="n">
        <v>0</v>
      </c>
      <c r="I240" s="7" t="n">
        <f aca="false">G240-H240</f>
        <v>5.5</v>
      </c>
      <c r="J240" s="6" t="s">
        <v>27</v>
      </c>
      <c r="K240" s="5" t="n">
        <f aca="false">INDEX(Parametros!$C$16:$C$18,MATCH($C240,Parametros!$A$16:$A$18,0))</f>
        <v>100</v>
      </c>
      <c r="L240" s="5" t="n">
        <f aca="false">I240*K240</f>
        <v>550</v>
      </c>
      <c r="M240" s="5" t="n">
        <v>340</v>
      </c>
      <c r="N240" s="5" t="n">
        <v>339</v>
      </c>
      <c r="O240" s="5" t="n">
        <f aca="false">M240-N240</f>
        <v>1</v>
      </c>
      <c r="P240" s="8" t="n">
        <f aca="false">IFERROR(I240/G240,0)</f>
        <v>1</v>
      </c>
      <c r="Q240" s="8" t="n">
        <f aca="false">IFERROR(M240/L240,0)</f>
        <v>0.618181818181818</v>
      </c>
      <c r="R240" s="8" t="n">
        <f aca="false">IFERROR(N240/M240,0)</f>
        <v>0.997058823529412</v>
      </c>
      <c r="S240" s="8" t="n">
        <f aca="false">P240*Q240*R240</f>
        <v>0.616363636363636</v>
      </c>
    </row>
    <row r="241" customFormat="false" ht="15" hidden="false" customHeight="false" outlineLevel="0" collapsed="false">
      <c r="A241" s="4" t="n">
        <v>46118</v>
      </c>
      <c r="B241" s="5" t="n">
        <f aca="false">MONTH($A241)</f>
        <v>4</v>
      </c>
      <c r="C241" s="5" t="n">
        <v>2</v>
      </c>
      <c r="D241" s="6" t="str">
        <f aca="false">INDEX(Parametros!$B$16:$B$18,MATCH($C241,Parametros!$A$16:$A$18,0))</f>
        <v>E2 - Llenado y tapado</v>
      </c>
      <c r="E241" s="7" t="n">
        <f aca="false">IF(WEEKDAY($A241,2)&lt;6,Parametros!$B$21,Parametros!$B$22)</f>
        <v>6</v>
      </c>
      <c r="F241" s="7" t="n">
        <v>0.75</v>
      </c>
      <c r="G241" s="7" t="n">
        <f aca="false">E241-F241</f>
        <v>5.25</v>
      </c>
      <c r="H241" s="7" t="n">
        <v>0.5</v>
      </c>
      <c r="I241" s="7" t="n">
        <f aca="false">G241-H241</f>
        <v>4.75</v>
      </c>
      <c r="J241" s="6" t="s">
        <v>26</v>
      </c>
      <c r="K241" s="5" t="n">
        <f aca="false">INDEX(Parametros!$C$16:$C$18,MATCH($C241,Parametros!$A$16:$A$18,0))</f>
        <v>95</v>
      </c>
      <c r="L241" s="5" t="n">
        <f aca="false">I241*K241</f>
        <v>451.25</v>
      </c>
      <c r="M241" s="5" t="n">
        <v>339</v>
      </c>
      <c r="N241" s="5" t="n">
        <v>330</v>
      </c>
      <c r="O241" s="5" t="n">
        <f aca="false">M241-N241</f>
        <v>9</v>
      </c>
      <c r="P241" s="8" t="n">
        <f aca="false">IFERROR(I241/G241,0)</f>
        <v>0.904761904761905</v>
      </c>
      <c r="Q241" s="8" t="n">
        <f aca="false">IFERROR(M241/L241,0)</f>
        <v>0.751246537396122</v>
      </c>
      <c r="R241" s="8" t="n">
        <f aca="false">IFERROR(N241/M241,0)</f>
        <v>0.973451327433628</v>
      </c>
      <c r="S241" s="8" t="n">
        <f aca="false">P241*Q241*R241</f>
        <v>0.661654135338346</v>
      </c>
    </row>
    <row r="242" customFormat="false" ht="15" hidden="false" customHeight="false" outlineLevel="0" collapsed="false">
      <c r="A242" s="4" t="n">
        <v>46118</v>
      </c>
      <c r="B242" s="5" t="n">
        <f aca="false">MONTH($A242)</f>
        <v>4</v>
      </c>
      <c r="C242" s="5" t="n">
        <v>3</v>
      </c>
      <c r="D242" s="6" t="str">
        <f aca="false">INDEX(Parametros!$B$16:$B$18,MATCH($C242,Parametros!$A$16:$A$18,0))</f>
        <v>E3 - Sellado y etiquetado</v>
      </c>
      <c r="E242" s="7" t="n">
        <f aca="false">IF(WEEKDAY($A242,2)&lt;6,Parametros!$B$21,Parametros!$B$22)</f>
        <v>6</v>
      </c>
      <c r="F242" s="7" t="n">
        <v>0.5</v>
      </c>
      <c r="G242" s="7" t="n">
        <f aca="false">E242-F242</f>
        <v>5.5</v>
      </c>
      <c r="H242" s="7" t="n">
        <v>0</v>
      </c>
      <c r="I242" s="7" t="n">
        <f aca="false">G242-H242</f>
        <v>5.5</v>
      </c>
      <c r="J242" s="6" t="s">
        <v>27</v>
      </c>
      <c r="K242" s="5" t="n">
        <f aca="false">INDEX(Parametros!$C$16:$C$18,MATCH($C242,Parametros!$A$16:$A$18,0))</f>
        <v>95</v>
      </c>
      <c r="L242" s="5" t="n">
        <f aca="false">I242*K242</f>
        <v>522.5</v>
      </c>
      <c r="M242" s="5" t="n">
        <v>330</v>
      </c>
      <c r="N242" s="5" t="n">
        <v>327</v>
      </c>
      <c r="O242" s="5" t="n">
        <f aca="false">M242-N242</f>
        <v>3</v>
      </c>
      <c r="P242" s="8" t="n">
        <f aca="false">IFERROR(I242/G242,0)</f>
        <v>1</v>
      </c>
      <c r="Q242" s="8" t="n">
        <f aca="false">IFERROR(M242/L242,0)</f>
        <v>0.631578947368421</v>
      </c>
      <c r="R242" s="8" t="n">
        <f aca="false">IFERROR(N242/M242,0)</f>
        <v>0.990909090909091</v>
      </c>
      <c r="S242" s="8" t="n">
        <f aca="false">P242*Q242*R242</f>
        <v>0.625837320574163</v>
      </c>
    </row>
    <row r="243" customFormat="false" ht="15" hidden="false" customHeight="false" outlineLevel="0" collapsed="false">
      <c r="A243" s="4" t="n">
        <v>46119</v>
      </c>
      <c r="B243" s="5" t="n">
        <f aca="false">MONTH($A243)</f>
        <v>4</v>
      </c>
      <c r="C243" s="5" t="n">
        <v>1</v>
      </c>
      <c r="D243" s="6" t="str">
        <f aca="false">INDEX(Parametros!$B$16:$B$18,MATCH($C243,Parametros!$A$16:$A$18,0))</f>
        <v>E1 - Lavado y sanitizado de bidones</v>
      </c>
      <c r="E243" s="7" t="n">
        <f aca="false">IF(WEEKDAY($A243,2)&lt;6,Parametros!$B$21,Parametros!$B$22)</f>
        <v>6</v>
      </c>
      <c r="F243" s="7" t="n">
        <v>0.5</v>
      </c>
      <c r="G243" s="7" t="n">
        <f aca="false">E243-F243</f>
        <v>5.5</v>
      </c>
      <c r="H243" s="7" t="n">
        <v>0.5</v>
      </c>
      <c r="I243" s="7" t="n">
        <f aca="false">G243-H243</f>
        <v>5</v>
      </c>
      <c r="J243" s="6" t="s">
        <v>30</v>
      </c>
      <c r="K243" s="5" t="n">
        <f aca="false">INDEX(Parametros!$C$16:$C$18,MATCH($C243,Parametros!$A$16:$A$18,0))</f>
        <v>100</v>
      </c>
      <c r="L243" s="5" t="n">
        <f aca="false">I243*K243</f>
        <v>500</v>
      </c>
      <c r="M243" s="5" t="n">
        <v>347</v>
      </c>
      <c r="N243" s="5" t="n">
        <v>344</v>
      </c>
      <c r="O243" s="5" t="n">
        <f aca="false">M243-N243</f>
        <v>3</v>
      </c>
      <c r="P243" s="8" t="n">
        <f aca="false">IFERROR(I243/G243,0)</f>
        <v>0.909090909090909</v>
      </c>
      <c r="Q243" s="8" t="n">
        <f aca="false">IFERROR(M243/L243,0)</f>
        <v>0.694</v>
      </c>
      <c r="R243" s="8" t="n">
        <f aca="false">IFERROR(N243/M243,0)</f>
        <v>0.99135446685879</v>
      </c>
      <c r="S243" s="8" t="n">
        <f aca="false">P243*Q243*R243</f>
        <v>0.625454545454545</v>
      </c>
    </row>
    <row r="244" customFormat="false" ht="15" hidden="false" customHeight="false" outlineLevel="0" collapsed="false">
      <c r="A244" s="4" t="n">
        <v>46119</v>
      </c>
      <c r="B244" s="5" t="n">
        <f aca="false">MONTH($A244)</f>
        <v>4</v>
      </c>
      <c r="C244" s="5" t="n">
        <v>2</v>
      </c>
      <c r="D244" s="6" t="str">
        <f aca="false">INDEX(Parametros!$B$16:$B$18,MATCH($C244,Parametros!$A$16:$A$18,0))</f>
        <v>E2 - Llenado y tapado</v>
      </c>
      <c r="E244" s="7" t="n">
        <f aca="false">IF(WEEKDAY($A244,2)&lt;6,Parametros!$B$21,Parametros!$B$22)</f>
        <v>6</v>
      </c>
      <c r="F244" s="7" t="n">
        <v>0.75</v>
      </c>
      <c r="G244" s="7" t="n">
        <f aca="false">E244-F244</f>
        <v>5.25</v>
      </c>
      <c r="H244" s="7" t="n">
        <v>0</v>
      </c>
      <c r="I244" s="7" t="n">
        <f aca="false">G244-H244</f>
        <v>5.25</v>
      </c>
      <c r="J244" s="6" t="s">
        <v>27</v>
      </c>
      <c r="K244" s="5" t="n">
        <f aca="false">INDEX(Parametros!$C$16:$C$18,MATCH($C244,Parametros!$A$16:$A$18,0))</f>
        <v>95</v>
      </c>
      <c r="L244" s="5" t="n">
        <f aca="false">I244*K244</f>
        <v>498.75</v>
      </c>
      <c r="M244" s="5" t="n">
        <v>344</v>
      </c>
      <c r="N244" s="5" t="n">
        <v>339</v>
      </c>
      <c r="O244" s="5" t="n">
        <f aca="false">M244-N244</f>
        <v>5</v>
      </c>
      <c r="P244" s="8" t="n">
        <f aca="false">IFERROR(I244/G244,0)</f>
        <v>1</v>
      </c>
      <c r="Q244" s="8" t="n">
        <f aca="false">IFERROR(M244/L244,0)</f>
        <v>0.689724310776942</v>
      </c>
      <c r="R244" s="8" t="n">
        <f aca="false">IFERROR(N244/M244,0)</f>
        <v>0.98546511627907</v>
      </c>
      <c r="S244" s="8" t="n">
        <f aca="false">P244*Q244*R244</f>
        <v>0.679699248120301</v>
      </c>
    </row>
    <row r="245" customFormat="false" ht="15" hidden="false" customHeight="false" outlineLevel="0" collapsed="false">
      <c r="A245" s="4" t="n">
        <v>46119</v>
      </c>
      <c r="B245" s="5" t="n">
        <f aca="false">MONTH($A245)</f>
        <v>4</v>
      </c>
      <c r="C245" s="5" t="n">
        <v>3</v>
      </c>
      <c r="D245" s="6" t="str">
        <f aca="false">INDEX(Parametros!$B$16:$B$18,MATCH($C245,Parametros!$A$16:$A$18,0))</f>
        <v>E3 - Sellado y etiquetado</v>
      </c>
      <c r="E245" s="7" t="n">
        <f aca="false">IF(WEEKDAY($A245,2)&lt;6,Parametros!$B$21,Parametros!$B$22)</f>
        <v>6</v>
      </c>
      <c r="F245" s="7" t="n">
        <v>0.25</v>
      </c>
      <c r="G245" s="7" t="n">
        <f aca="false">E245-F245</f>
        <v>5.75</v>
      </c>
      <c r="H245" s="7" t="n">
        <v>0</v>
      </c>
      <c r="I245" s="7" t="n">
        <f aca="false">G245-H245</f>
        <v>5.75</v>
      </c>
      <c r="J245" s="6" t="s">
        <v>27</v>
      </c>
      <c r="K245" s="5" t="n">
        <f aca="false">INDEX(Parametros!$C$16:$C$18,MATCH($C245,Parametros!$A$16:$A$18,0))</f>
        <v>95</v>
      </c>
      <c r="L245" s="5" t="n">
        <f aca="false">I245*K245</f>
        <v>546.25</v>
      </c>
      <c r="M245" s="5" t="n">
        <v>339</v>
      </c>
      <c r="N245" s="5" t="n">
        <v>337</v>
      </c>
      <c r="O245" s="5" t="n">
        <f aca="false">M245-N245</f>
        <v>2</v>
      </c>
      <c r="P245" s="8" t="n">
        <f aca="false">IFERROR(I245/G245,0)</f>
        <v>1</v>
      </c>
      <c r="Q245" s="8" t="n">
        <f aca="false">IFERROR(M245/L245,0)</f>
        <v>0.620594965675057</v>
      </c>
      <c r="R245" s="8" t="n">
        <f aca="false">IFERROR(N245/M245,0)</f>
        <v>0.994100294985251</v>
      </c>
      <c r="S245" s="8" t="n">
        <f aca="false">P245*Q245*R245</f>
        <v>0.616933638443936</v>
      </c>
    </row>
    <row r="246" customFormat="false" ht="15" hidden="false" customHeight="false" outlineLevel="0" collapsed="false">
      <c r="A246" s="4" t="n">
        <v>46120</v>
      </c>
      <c r="B246" s="5" t="n">
        <f aca="false">MONTH($A246)</f>
        <v>4</v>
      </c>
      <c r="C246" s="5" t="n">
        <v>1</v>
      </c>
      <c r="D246" s="6" t="str">
        <f aca="false">INDEX(Parametros!$B$16:$B$18,MATCH($C246,Parametros!$A$16:$A$18,0))</f>
        <v>E1 - Lavado y sanitizado de bidones</v>
      </c>
      <c r="E246" s="7" t="n">
        <f aca="false">IF(WEEKDAY($A246,2)&lt;6,Parametros!$B$21,Parametros!$B$22)</f>
        <v>6</v>
      </c>
      <c r="F246" s="7" t="n">
        <v>0.5</v>
      </c>
      <c r="G246" s="7" t="n">
        <f aca="false">E246-F246</f>
        <v>5.5</v>
      </c>
      <c r="H246" s="7" t="n">
        <v>0</v>
      </c>
      <c r="I246" s="7" t="n">
        <f aca="false">G246-H246</f>
        <v>5.5</v>
      </c>
      <c r="J246" s="6" t="s">
        <v>27</v>
      </c>
      <c r="K246" s="5" t="n">
        <f aca="false">INDEX(Parametros!$C$16:$C$18,MATCH($C246,Parametros!$A$16:$A$18,0))</f>
        <v>100</v>
      </c>
      <c r="L246" s="5" t="n">
        <f aca="false">I246*K246</f>
        <v>550</v>
      </c>
      <c r="M246" s="5" t="n">
        <v>310</v>
      </c>
      <c r="N246" s="5" t="n">
        <v>309</v>
      </c>
      <c r="O246" s="5" t="n">
        <f aca="false">M246-N246</f>
        <v>1</v>
      </c>
      <c r="P246" s="8" t="n">
        <f aca="false">IFERROR(I246/G246,0)</f>
        <v>1</v>
      </c>
      <c r="Q246" s="8" t="n">
        <f aca="false">IFERROR(M246/L246,0)</f>
        <v>0.563636363636364</v>
      </c>
      <c r="R246" s="8" t="n">
        <f aca="false">IFERROR(N246/M246,0)</f>
        <v>0.996774193548387</v>
      </c>
      <c r="S246" s="8" t="n">
        <f aca="false">P246*Q246*R246</f>
        <v>0.561818181818182</v>
      </c>
    </row>
    <row r="247" customFormat="false" ht="15" hidden="false" customHeight="false" outlineLevel="0" collapsed="false">
      <c r="A247" s="4" t="n">
        <v>46120</v>
      </c>
      <c r="B247" s="5" t="n">
        <f aca="false">MONTH($A247)</f>
        <v>4</v>
      </c>
      <c r="C247" s="5" t="n">
        <v>2</v>
      </c>
      <c r="D247" s="6" t="str">
        <f aca="false">INDEX(Parametros!$B$16:$B$18,MATCH($C247,Parametros!$A$16:$A$18,0))</f>
        <v>E2 - Llenado y tapado</v>
      </c>
      <c r="E247" s="7" t="n">
        <f aca="false">IF(WEEKDAY($A247,2)&lt;6,Parametros!$B$21,Parametros!$B$22)</f>
        <v>6</v>
      </c>
      <c r="F247" s="7" t="n">
        <v>0.75</v>
      </c>
      <c r="G247" s="7" t="n">
        <f aca="false">E247-F247</f>
        <v>5.25</v>
      </c>
      <c r="H247" s="7" t="n">
        <v>0</v>
      </c>
      <c r="I247" s="7" t="n">
        <f aca="false">G247-H247</f>
        <v>5.25</v>
      </c>
      <c r="J247" s="6" t="s">
        <v>27</v>
      </c>
      <c r="K247" s="5" t="n">
        <f aca="false">INDEX(Parametros!$C$16:$C$18,MATCH($C247,Parametros!$A$16:$A$18,0))</f>
        <v>95</v>
      </c>
      <c r="L247" s="5" t="n">
        <f aca="false">I247*K247</f>
        <v>498.75</v>
      </c>
      <c r="M247" s="5" t="n">
        <v>309</v>
      </c>
      <c r="N247" s="5" t="n">
        <v>302</v>
      </c>
      <c r="O247" s="5" t="n">
        <f aca="false">M247-N247</f>
        <v>7</v>
      </c>
      <c r="P247" s="8" t="n">
        <f aca="false">IFERROR(I247/G247,0)</f>
        <v>1</v>
      </c>
      <c r="Q247" s="8" t="n">
        <f aca="false">IFERROR(M247/L247,0)</f>
        <v>0.619548872180451</v>
      </c>
      <c r="R247" s="8" t="n">
        <f aca="false">IFERROR(N247/M247,0)</f>
        <v>0.977346278317152</v>
      </c>
      <c r="S247" s="8" t="n">
        <f aca="false">P247*Q247*R247</f>
        <v>0.605513784461153</v>
      </c>
    </row>
    <row r="248" customFormat="false" ht="15" hidden="false" customHeight="false" outlineLevel="0" collapsed="false">
      <c r="A248" s="4" t="n">
        <v>46120</v>
      </c>
      <c r="B248" s="5" t="n">
        <f aca="false">MONTH($A248)</f>
        <v>4</v>
      </c>
      <c r="C248" s="5" t="n">
        <v>3</v>
      </c>
      <c r="D248" s="6" t="str">
        <f aca="false">INDEX(Parametros!$B$16:$B$18,MATCH($C248,Parametros!$A$16:$A$18,0))</f>
        <v>E3 - Sellado y etiquetado</v>
      </c>
      <c r="E248" s="7" t="n">
        <f aca="false">IF(WEEKDAY($A248,2)&lt;6,Parametros!$B$21,Parametros!$B$22)</f>
        <v>6</v>
      </c>
      <c r="F248" s="7" t="n">
        <v>0.25</v>
      </c>
      <c r="G248" s="7" t="n">
        <f aca="false">E248-F248</f>
        <v>5.75</v>
      </c>
      <c r="H248" s="7" t="n">
        <v>0</v>
      </c>
      <c r="I248" s="7" t="n">
        <f aca="false">G248-H248</f>
        <v>5.75</v>
      </c>
      <c r="J248" s="6" t="s">
        <v>27</v>
      </c>
      <c r="K248" s="5" t="n">
        <f aca="false">INDEX(Parametros!$C$16:$C$18,MATCH($C248,Parametros!$A$16:$A$18,0))</f>
        <v>95</v>
      </c>
      <c r="L248" s="5" t="n">
        <f aca="false">I248*K248</f>
        <v>546.25</v>
      </c>
      <c r="M248" s="5" t="n">
        <v>302</v>
      </c>
      <c r="N248" s="5" t="n">
        <v>300</v>
      </c>
      <c r="O248" s="5" t="n">
        <f aca="false">M248-N248</f>
        <v>2</v>
      </c>
      <c r="P248" s="8" t="n">
        <f aca="false">IFERROR(I248/G248,0)</f>
        <v>1</v>
      </c>
      <c r="Q248" s="8" t="n">
        <f aca="false">IFERROR(M248/L248,0)</f>
        <v>0.552860411899314</v>
      </c>
      <c r="R248" s="8" t="n">
        <f aca="false">IFERROR(N248/M248,0)</f>
        <v>0.993377483443709</v>
      </c>
      <c r="S248" s="8" t="n">
        <f aca="false">P248*Q248*R248</f>
        <v>0.549199084668192</v>
      </c>
    </row>
    <row r="249" customFormat="false" ht="15" hidden="false" customHeight="false" outlineLevel="0" collapsed="false">
      <c r="A249" s="4" t="n">
        <v>46121</v>
      </c>
      <c r="B249" s="5" t="n">
        <f aca="false">MONTH($A249)</f>
        <v>4</v>
      </c>
      <c r="C249" s="5" t="n">
        <v>1</v>
      </c>
      <c r="D249" s="6" t="str">
        <f aca="false">INDEX(Parametros!$B$16:$B$18,MATCH($C249,Parametros!$A$16:$A$18,0))</f>
        <v>E1 - Lavado y sanitizado de bidones</v>
      </c>
      <c r="E249" s="7" t="n">
        <f aca="false">IF(WEEKDAY($A249,2)&lt;6,Parametros!$B$21,Parametros!$B$22)</f>
        <v>6</v>
      </c>
      <c r="F249" s="7" t="n">
        <v>0.75</v>
      </c>
      <c r="G249" s="7" t="n">
        <f aca="false">E249-F249</f>
        <v>5.25</v>
      </c>
      <c r="H249" s="7" t="n">
        <v>0.25</v>
      </c>
      <c r="I249" s="7" t="n">
        <f aca="false">G249-H249</f>
        <v>5</v>
      </c>
      <c r="J249" s="6" t="s">
        <v>24</v>
      </c>
      <c r="K249" s="5" t="n">
        <f aca="false">INDEX(Parametros!$C$16:$C$18,MATCH($C249,Parametros!$A$16:$A$18,0))</f>
        <v>100</v>
      </c>
      <c r="L249" s="5" t="n">
        <f aca="false">I249*K249</f>
        <v>500</v>
      </c>
      <c r="M249" s="5" t="n">
        <v>325</v>
      </c>
      <c r="N249" s="5" t="n">
        <v>324</v>
      </c>
      <c r="O249" s="5" t="n">
        <f aca="false">M249-N249</f>
        <v>1</v>
      </c>
      <c r="P249" s="8" t="n">
        <f aca="false">IFERROR(I249/G249,0)</f>
        <v>0.952380952380952</v>
      </c>
      <c r="Q249" s="8" t="n">
        <f aca="false">IFERROR(M249/L249,0)</f>
        <v>0.65</v>
      </c>
      <c r="R249" s="8" t="n">
        <f aca="false">IFERROR(N249/M249,0)</f>
        <v>0.996923076923077</v>
      </c>
      <c r="S249" s="8" t="n">
        <f aca="false">P249*Q249*R249</f>
        <v>0.617142857142857</v>
      </c>
    </row>
    <row r="250" customFormat="false" ht="15" hidden="false" customHeight="false" outlineLevel="0" collapsed="false">
      <c r="A250" s="4" t="n">
        <v>46121</v>
      </c>
      <c r="B250" s="5" t="n">
        <f aca="false">MONTH($A250)</f>
        <v>4</v>
      </c>
      <c r="C250" s="5" t="n">
        <v>2</v>
      </c>
      <c r="D250" s="6" t="str">
        <f aca="false">INDEX(Parametros!$B$16:$B$18,MATCH($C250,Parametros!$A$16:$A$18,0))</f>
        <v>E2 - Llenado y tapado</v>
      </c>
      <c r="E250" s="7" t="n">
        <f aca="false">IF(WEEKDAY($A250,2)&lt;6,Parametros!$B$21,Parametros!$B$22)</f>
        <v>6</v>
      </c>
      <c r="F250" s="7" t="n">
        <v>0.75</v>
      </c>
      <c r="G250" s="7" t="n">
        <f aca="false">E250-F250</f>
        <v>5.25</v>
      </c>
      <c r="H250" s="7" t="n">
        <v>1</v>
      </c>
      <c r="I250" s="7" t="n">
        <f aca="false">G250-H250</f>
        <v>4.25</v>
      </c>
      <c r="J250" s="6" t="s">
        <v>28</v>
      </c>
      <c r="K250" s="5" t="n">
        <f aca="false">INDEX(Parametros!$C$16:$C$18,MATCH($C250,Parametros!$A$16:$A$18,0))</f>
        <v>95</v>
      </c>
      <c r="L250" s="5" t="n">
        <f aca="false">I250*K250</f>
        <v>403.75</v>
      </c>
      <c r="M250" s="5" t="n">
        <v>324</v>
      </c>
      <c r="N250" s="5" t="n">
        <v>318</v>
      </c>
      <c r="O250" s="5" t="n">
        <f aca="false">M250-N250</f>
        <v>6</v>
      </c>
      <c r="P250" s="8" t="n">
        <f aca="false">IFERROR(I250/G250,0)</f>
        <v>0.80952380952381</v>
      </c>
      <c r="Q250" s="8" t="n">
        <f aca="false">IFERROR(M250/L250,0)</f>
        <v>0.802476780185759</v>
      </c>
      <c r="R250" s="8" t="n">
        <f aca="false">IFERROR(N250/M250,0)</f>
        <v>0.981481481481482</v>
      </c>
      <c r="S250" s="8" t="n">
        <f aca="false">P250*Q250*R250</f>
        <v>0.637593984962406</v>
      </c>
    </row>
    <row r="251" customFormat="false" ht="15" hidden="false" customHeight="false" outlineLevel="0" collapsed="false">
      <c r="A251" s="4" t="n">
        <v>46121</v>
      </c>
      <c r="B251" s="5" t="n">
        <f aca="false">MONTH($A251)</f>
        <v>4</v>
      </c>
      <c r="C251" s="5" t="n">
        <v>3</v>
      </c>
      <c r="D251" s="6" t="str">
        <f aca="false">INDEX(Parametros!$B$16:$B$18,MATCH($C251,Parametros!$A$16:$A$18,0))</f>
        <v>E3 - Sellado y etiquetado</v>
      </c>
      <c r="E251" s="7" t="n">
        <f aca="false">IF(WEEKDAY($A251,2)&lt;6,Parametros!$B$21,Parametros!$B$22)</f>
        <v>6</v>
      </c>
      <c r="F251" s="7" t="n">
        <v>0.25</v>
      </c>
      <c r="G251" s="7" t="n">
        <f aca="false">E251-F251</f>
        <v>5.75</v>
      </c>
      <c r="H251" s="7" t="n">
        <v>0.5</v>
      </c>
      <c r="I251" s="7" t="n">
        <f aca="false">G251-H251</f>
        <v>5.25</v>
      </c>
      <c r="J251" s="6" t="s">
        <v>25</v>
      </c>
      <c r="K251" s="5" t="n">
        <f aca="false">INDEX(Parametros!$C$16:$C$18,MATCH($C251,Parametros!$A$16:$A$18,0))</f>
        <v>95</v>
      </c>
      <c r="L251" s="5" t="n">
        <f aca="false">I251*K251</f>
        <v>498.75</v>
      </c>
      <c r="M251" s="5" t="n">
        <v>318</v>
      </c>
      <c r="N251" s="5" t="n">
        <v>317</v>
      </c>
      <c r="O251" s="5" t="n">
        <f aca="false">M251-N251</f>
        <v>1</v>
      </c>
      <c r="P251" s="8" t="n">
        <f aca="false">IFERROR(I251/G251,0)</f>
        <v>0.91304347826087</v>
      </c>
      <c r="Q251" s="8" t="n">
        <f aca="false">IFERROR(M251/L251,0)</f>
        <v>0.637593984962406</v>
      </c>
      <c r="R251" s="8" t="n">
        <f aca="false">IFERROR(N251/M251,0)</f>
        <v>0.99685534591195</v>
      </c>
      <c r="S251" s="8" t="n">
        <f aca="false">P251*Q251*R251</f>
        <v>0.580320366132723</v>
      </c>
    </row>
    <row r="252" customFormat="false" ht="15" hidden="false" customHeight="false" outlineLevel="0" collapsed="false">
      <c r="A252" s="4" t="n">
        <v>46122</v>
      </c>
      <c r="B252" s="5" t="n">
        <f aca="false">MONTH($A252)</f>
        <v>4</v>
      </c>
      <c r="C252" s="5" t="n">
        <v>1</v>
      </c>
      <c r="D252" s="6" t="str">
        <f aca="false">INDEX(Parametros!$B$16:$B$18,MATCH($C252,Parametros!$A$16:$A$18,0))</f>
        <v>E1 - Lavado y sanitizado de bidones</v>
      </c>
      <c r="E252" s="7" t="n">
        <f aca="false">IF(WEEKDAY($A252,2)&lt;6,Parametros!$B$21,Parametros!$B$22)</f>
        <v>6</v>
      </c>
      <c r="F252" s="7" t="n">
        <v>0.5</v>
      </c>
      <c r="G252" s="7" t="n">
        <f aca="false">E252-F252</f>
        <v>5.5</v>
      </c>
      <c r="H252" s="7" t="n">
        <v>0</v>
      </c>
      <c r="I252" s="7" t="n">
        <f aca="false">G252-H252</f>
        <v>5.5</v>
      </c>
      <c r="J252" s="6" t="s">
        <v>27</v>
      </c>
      <c r="K252" s="5" t="n">
        <f aca="false">INDEX(Parametros!$C$16:$C$18,MATCH($C252,Parametros!$A$16:$A$18,0))</f>
        <v>100</v>
      </c>
      <c r="L252" s="5" t="n">
        <f aca="false">I252*K252</f>
        <v>550</v>
      </c>
      <c r="M252" s="5" t="n">
        <v>330</v>
      </c>
      <c r="N252" s="5" t="n">
        <v>327</v>
      </c>
      <c r="O252" s="5" t="n">
        <f aca="false">M252-N252</f>
        <v>3</v>
      </c>
      <c r="P252" s="8" t="n">
        <f aca="false">IFERROR(I252/G252,0)</f>
        <v>1</v>
      </c>
      <c r="Q252" s="8" t="n">
        <f aca="false">IFERROR(M252/L252,0)</f>
        <v>0.6</v>
      </c>
      <c r="R252" s="8" t="n">
        <f aca="false">IFERROR(N252/M252,0)</f>
        <v>0.990909090909091</v>
      </c>
      <c r="S252" s="8" t="n">
        <f aca="false">P252*Q252*R252</f>
        <v>0.594545454545455</v>
      </c>
    </row>
    <row r="253" customFormat="false" ht="15" hidden="false" customHeight="false" outlineLevel="0" collapsed="false">
      <c r="A253" s="4" t="n">
        <v>46122</v>
      </c>
      <c r="B253" s="5" t="n">
        <f aca="false">MONTH($A253)</f>
        <v>4</v>
      </c>
      <c r="C253" s="5" t="n">
        <v>2</v>
      </c>
      <c r="D253" s="6" t="str">
        <f aca="false">INDEX(Parametros!$B$16:$B$18,MATCH($C253,Parametros!$A$16:$A$18,0))</f>
        <v>E2 - Llenado y tapado</v>
      </c>
      <c r="E253" s="7" t="n">
        <f aca="false">IF(WEEKDAY($A253,2)&lt;6,Parametros!$B$21,Parametros!$B$22)</f>
        <v>6</v>
      </c>
      <c r="F253" s="7" t="n">
        <v>0.75</v>
      </c>
      <c r="G253" s="7" t="n">
        <f aca="false">E253-F253</f>
        <v>5.25</v>
      </c>
      <c r="H253" s="7" t="n">
        <v>0.75</v>
      </c>
      <c r="I253" s="7" t="n">
        <f aca="false">G253-H253</f>
        <v>4.5</v>
      </c>
      <c r="J253" s="6" t="s">
        <v>23</v>
      </c>
      <c r="K253" s="5" t="n">
        <f aca="false">INDEX(Parametros!$C$16:$C$18,MATCH($C253,Parametros!$A$16:$A$18,0))</f>
        <v>95</v>
      </c>
      <c r="L253" s="5" t="n">
        <f aca="false">I253*K253</f>
        <v>427.5</v>
      </c>
      <c r="M253" s="5" t="n">
        <v>327</v>
      </c>
      <c r="N253" s="5" t="n">
        <v>319</v>
      </c>
      <c r="O253" s="5" t="n">
        <f aca="false">M253-N253</f>
        <v>8</v>
      </c>
      <c r="P253" s="8" t="n">
        <f aca="false">IFERROR(I253/G253,0)</f>
        <v>0.857142857142857</v>
      </c>
      <c r="Q253" s="8" t="n">
        <f aca="false">IFERROR(M253/L253,0)</f>
        <v>0.764912280701754</v>
      </c>
      <c r="R253" s="8" t="n">
        <f aca="false">IFERROR(N253/M253,0)</f>
        <v>0.975535168195719</v>
      </c>
      <c r="S253" s="8" t="n">
        <f aca="false">P253*Q253*R253</f>
        <v>0.639598997493734</v>
      </c>
    </row>
    <row r="254" customFormat="false" ht="15" hidden="false" customHeight="false" outlineLevel="0" collapsed="false">
      <c r="A254" s="4" t="n">
        <v>46122</v>
      </c>
      <c r="B254" s="5" t="n">
        <f aca="false">MONTH($A254)</f>
        <v>4</v>
      </c>
      <c r="C254" s="5" t="n">
        <v>3</v>
      </c>
      <c r="D254" s="6" t="str">
        <f aca="false">INDEX(Parametros!$B$16:$B$18,MATCH($C254,Parametros!$A$16:$A$18,0))</f>
        <v>E3 - Sellado y etiquetado</v>
      </c>
      <c r="E254" s="7" t="n">
        <f aca="false">IF(WEEKDAY($A254,2)&lt;6,Parametros!$B$21,Parametros!$B$22)</f>
        <v>6</v>
      </c>
      <c r="F254" s="7" t="n">
        <v>0.25</v>
      </c>
      <c r="G254" s="7" t="n">
        <f aca="false">E254-F254</f>
        <v>5.75</v>
      </c>
      <c r="H254" s="7" t="n">
        <v>0.5</v>
      </c>
      <c r="I254" s="7" t="n">
        <f aca="false">G254-H254</f>
        <v>5.25</v>
      </c>
      <c r="J254" s="6" t="s">
        <v>25</v>
      </c>
      <c r="K254" s="5" t="n">
        <f aca="false">INDEX(Parametros!$C$16:$C$18,MATCH($C254,Parametros!$A$16:$A$18,0))</f>
        <v>95</v>
      </c>
      <c r="L254" s="5" t="n">
        <f aca="false">I254*K254</f>
        <v>498.75</v>
      </c>
      <c r="M254" s="5" t="n">
        <v>319</v>
      </c>
      <c r="N254" s="5" t="n">
        <v>316</v>
      </c>
      <c r="O254" s="5" t="n">
        <f aca="false">M254-N254</f>
        <v>3</v>
      </c>
      <c r="P254" s="8" t="n">
        <f aca="false">IFERROR(I254/G254,0)</f>
        <v>0.91304347826087</v>
      </c>
      <c r="Q254" s="8" t="n">
        <f aca="false">IFERROR(M254/L254,0)</f>
        <v>0.639598997493734</v>
      </c>
      <c r="R254" s="8" t="n">
        <f aca="false">IFERROR(N254/M254,0)</f>
        <v>0.990595611285266</v>
      </c>
      <c r="S254" s="8" t="n">
        <f aca="false">P254*Q254*R254</f>
        <v>0.578489702517163</v>
      </c>
    </row>
    <row r="255" customFormat="false" ht="15" hidden="false" customHeight="false" outlineLevel="0" collapsed="false">
      <c r="A255" s="4" t="n">
        <v>46123</v>
      </c>
      <c r="B255" s="5" t="n">
        <f aca="false">MONTH($A255)</f>
        <v>4</v>
      </c>
      <c r="C255" s="5" t="n">
        <v>1</v>
      </c>
      <c r="D255" s="6" t="str">
        <f aca="false">INDEX(Parametros!$B$16:$B$18,MATCH($C255,Parametros!$A$16:$A$18,0))</f>
        <v>E1 - Lavado y sanitizado de bidones</v>
      </c>
      <c r="E255" s="7" t="n">
        <f aca="false">IF(WEEKDAY($A255,2)&lt;6,Parametros!$B$21,Parametros!$B$22)</f>
        <v>4</v>
      </c>
      <c r="F255" s="7" t="n">
        <v>1</v>
      </c>
      <c r="G255" s="7" t="n">
        <f aca="false">E255-F255</f>
        <v>3</v>
      </c>
      <c r="H255" s="7" t="n">
        <v>0.5</v>
      </c>
      <c r="I255" s="7" t="n">
        <f aca="false">G255-H255</f>
        <v>2.5</v>
      </c>
      <c r="J255" s="6" t="s">
        <v>22</v>
      </c>
      <c r="K255" s="5" t="n">
        <f aca="false">INDEX(Parametros!$C$16:$C$18,MATCH($C255,Parametros!$A$16:$A$18,0))</f>
        <v>100</v>
      </c>
      <c r="L255" s="5" t="n">
        <f aca="false">I255*K255</f>
        <v>250</v>
      </c>
      <c r="M255" s="5" t="n">
        <v>190</v>
      </c>
      <c r="N255" s="5" t="n">
        <v>188</v>
      </c>
      <c r="O255" s="5" t="n">
        <f aca="false">M255-N255</f>
        <v>2</v>
      </c>
      <c r="P255" s="8" t="n">
        <f aca="false">IFERROR(I255/G255,0)</f>
        <v>0.833333333333333</v>
      </c>
      <c r="Q255" s="8" t="n">
        <f aca="false">IFERROR(M255/L255,0)</f>
        <v>0.76</v>
      </c>
      <c r="R255" s="8" t="n">
        <f aca="false">IFERROR(N255/M255,0)</f>
        <v>0.989473684210526</v>
      </c>
      <c r="S255" s="8" t="n">
        <f aca="false">P255*Q255*R255</f>
        <v>0.626666666666667</v>
      </c>
    </row>
    <row r="256" customFormat="false" ht="15" hidden="false" customHeight="false" outlineLevel="0" collapsed="false">
      <c r="A256" s="4" t="n">
        <v>46123</v>
      </c>
      <c r="B256" s="5" t="n">
        <f aca="false">MONTH($A256)</f>
        <v>4</v>
      </c>
      <c r="C256" s="5" t="n">
        <v>2</v>
      </c>
      <c r="D256" s="6" t="str">
        <f aca="false">INDEX(Parametros!$B$16:$B$18,MATCH($C256,Parametros!$A$16:$A$18,0))</f>
        <v>E2 - Llenado y tapado</v>
      </c>
      <c r="E256" s="7" t="n">
        <f aca="false">IF(WEEKDAY($A256,2)&lt;6,Parametros!$B$21,Parametros!$B$22)</f>
        <v>4</v>
      </c>
      <c r="F256" s="7" t="n">
        <v>1</v>
      </c>
      <c r="G256" s="7" t="n">
        <f aca="false">E256-F256</f>
        <v>3</v>
      </c>
      <c r="H256" s="7" t="n">
        <v>0</v>
      </c>
      <c r="I256" s="7" t="n">
        <f aca="false">G256-H256</f>
        <v>3</v>
      </c>
      <c r="J256" s="6" t="s">
        <v>27</v>
      </c>
      <c r="K256" s="5" t="n">
        <f aca="false">INDEX(Parametros!$C$16:$C$18,MATCH($C256,Parametros!$A$16:$A$18,0))</f>
        <v>95</v>
      </c>
      <c r="L256" s="5" t="n">
        <f aca="false">I256*K256</f>
        <v>285</v>
      </c>
      <c r="M256" s="5" t="n">
        <v>188</v>
      </c>
      <c r="N256" s="5" t="n">
        <v>185</v>
      </c>
      <c r="O256" s="5" t="n">
        <f aca="false">M256-N256</f>
        <v>3</v>
      </c>
      <c r="P256" s="8" t="n">
        <f aca="false">IFERROR(I256/G256,0)</f>
        <v>1</v>
      </c>
      <c r="Q256" s="8" t="n">
        <f aca="false">IFERROR(M256/L256,0)</f>
        <v>0.659649122807018</v>
      </c>
      <c r="R256" s="8" t="n">
        <f aca="false">IFERROR(N256/M256,0)</f>
        <v>0.984042553191489</v>
      </c>
      <c r="S256" s="8" t="n">
        <f aca="false">P256*Q256*R256</f>
        <v>0.649122807017544</v>
      </c>
    </row>
    <row r="257" customFormat="false" ht="15" hidden="false" customHeight="false" outlineLevel="0" collapsed="false">
      <c r="A257" s="4" t="n">
        <v>46123</v>
      </c>
      <c r="B257" s="5" t="n">
        <f aca="false">MONTH($A257)</f>
        <v>4</v>
      </c>
      <c r="C257" s="5" t="n">
        <v>3</v>
      </c>
      <c r="D257" s="6" t="str">
        <f aca="false">INDEX(Parametros!$B$16:$B$18,MATCH($C257,Parametros!$A$16:$A$18,0))</f>
        <v>E3 - Sellado y etiquetado</v>
      </c>
      <c r="E257" s="7" t="n">
        <f aca="false">IF(WEEKDAY($A257,2)&lt;6,Parametros!$B$21,Parametros!$B$22)</f>
        <v>4</v>
      </c>
      <c r="F257" s="7" t="n">
        <v>0.5</v>
      </c>
      <c r="G257" s="7" t="n">
        <f aca="false">E257-F257</f>
        <v>3.5</v>
      </c>
      <c r="H257" s="7" t="n">
        <v>0.5</v>
      </c>
      <c r="I257" s="7" t="n">
        <f aca="false">G257-H257</f>
        <v>3</v>
      </c>
      <c r="J257" s="6" t="s">
        <v>30</v>
      </c>
      <c r="K257" s="5" t="n">
        <f aca="false">INDEX(Parametros!$C$16:$C$18,MATCH($C257,Parametros!$A$16:$A$18,0))</f>
        <v>95</v>
      </c>
      <c r="L257" s="5" t="n">
        <f aca="false">I257*K257</f>
        <v>285</v>
      </c>
      <c r="M257" s="5" t="n">
        <v>185</v>
      </c>
      <c r="N257" s="5" t="n">
        <v>184</v>
      </c>
      <c r="O257" s="5" t="n">
        <f aca="false">M257-N257</f>
        <v>1</v>
      </c>
      <c r="P257" s="8" t="n">
        <f aca="false">IFERROR(I257/G257,0)</f>
        <v>0.857142857142857</v>
      </c>
      <c r="Q257" s="8" t="n">
        <f aca="false">IFERROR(M257/L257,0)</f>
        <v>0.649122807017544</v>
      </c>
      <c r="R257" s="8" t="n">
        <f aca="false">IFERROR(N257/M257,0)</f>
        <v>0.994594594594595</v>
      </c>
      <c r="S257" s="8" t="n">
        <f aca="false">P257*Q257*R257</f>
        <v>0.553383458646617</v>
      </c>
    </row>
    <row r="258" customFormat="false" ht="15" hidden="false" customHeight="false" outlineLevel="0" collapsed="false">
      <c r="A258" s="4" t="n">
        <v>46125</v>
      </c>
      <c r="B258" s="5" t="n">
        <f aca="false">MONTH($A258)</f>
        <v>4</v>
      </c>
      <c r="C258" s="5" t="n">
        <v>1</v>
      </c>
      <c r="D258" s="6" t="str">
        <f aca="false">INDEX(Parametros!$B$16:$B$18,MATCH($C258,Parametros!$A$16:$A$18,0))</f>
        <v>E1 - Lavado y sanitizado de bidones</v>
      </c>
      <c r="E258" s="7" t="n">
        <f aca="false">IF(WEEKDAY($A258,2)&lt;6,Parametros!$B$21,Parametros!$B$22)</f>
        <v>6</v>
      </c>
      <c r="F258" s="7" t="n">
        <v>0.5</v>
      </c>
      <c r="G258" s="7" t="n">
        <f aca="false">E258-F258</f>
        <v>5.5</v>
      </c>
      <c r="H258" s="7" t="n">
        <v>0.5</v>
      </c>
      <c r="I258" s="7" t="n">
        <f aca="false">G258-H258</f>
        <v>5</v>
      </c>
      <c r="J258" s="6" t="s">
        <v>30</v>
      </c>
      <c r="K258" s="5" t="n">
        <f aca="false">INDEX(Parametros!$C$16:$C$18,MATCH($C258,Parametros!$A$16:$A$18,0))</f>
        <v>100</v>
      </c>
      <c r="L258" s="5" t="n">
        <f aca="false">I258*K258</f>
        <v>500</v>
      </c>
      <c r="M258" s="5" t="n">
        <v>360</v>
      </c>
      <c r="N258" s="5" t="n">
        <v>353</v>
      </c>
      <c r="O258" s="5" t="n">
        <f aca="false">M258-N258</f>
        <v>7</v>
      </c>
      <c r="P258" s="8" t="n">
        <f aca="false">IFERROR(I258/G258,0)</f>
        <v>0.909090909090909</v>
      </c>
      <c r="Q258" s="8" t="n">
        <f aca="false">IFERROR(M258/L258,0)</f>
        <v>0.72</v>
      </c>
      <c r="R258" s="8" t="n">
        <f aca="false">IFERROR(N258/M258,0)</f>
        <v>0.980555555555556</v>
      </c>
      <c r="S258" s="8" t="n">
        <f aca="false">P258*Q258*R258</f>
        <v>0.641818181818182</v>
      </c>
    </row>
    <row r="259" customFormat="false" ht="15" hidden="false" customHeight="false" outlineLevel="0" collapsed="false">
      <c r="A259" s="4" t="n">
        <v>46125</v>
      </c>
      <c r="B259" s="5" t="n">
        <f aca="false">MONTH($A259)</f>
        <v>4</v>
      </c>
      <c r="C259" s="5" t="n">
        <v>2</v>
      </c>
      <c r="D259" s="6" t="str">
        <f aca="false">INDEX(Parametros!$B$16:$B$18,MATCH($C259,Parametros!$A$16:$A$18,0))</f>
        <v>E2 - Llenado y tapado</v>
      </c>
      <c r="E259" s="7" t="n">
        <f aca="false">IF(WEEKDAY($A259,2)&lt;6,Parametros!$B$21,Parametros!$B$22)</f>
        <v>6</v>
      </c>
      <c r="F259" s="7" t="n">
        <v>0.75</v>
      </c>
      <c r="G259" s="7" t="n">
        <f aca="false">E259-F259</f>
        <v>5.25</v>
      </c>
      <c r="H259" s="7" t="n">
        <v>0.75</v>
      </c>
      <c r="I259" s="7" t="n">
        <f aca="false">G259-H259</f>
        <v>4.5</v>
      </c>
      <c r="J259" s="6" t="s">
        <v>28</v>
      </c>
      <c r="K259" s="5" t="n">
        <f aca="false">INDEX(Parametros!$C$16:$C$18,MATCH($C259,Parametros!$A$16:$A$18,0))</f>
        <v>95</v>
      </c>
      <c r="L259" s="5" t="n">
        <f aca="false">I259*K259</f>
        <v>427.5</v>
      </c>
      <c r="M259" s="5" t="n">
        <v>353</v>
      </c>
      <c r="N259" s="5" t="n">
        <v>347</v>
      </c>
      <c r="O259" s="5" t="n">
        <f aca="false">M259-N259</f>
        <v>6</v>
      </c>
      <c r="P259" s="8" t="n">
        <f aca="false">IFERROR(I259/G259,0)</f>
        <v>0.857142857142857</v>
      </c>
      <c r="Q259" s="8" t="n">
        <f aca="false">IFERROR(M259/L259,0)</f>
        <v>0.825730994152047</v>
      </c>
      <c r="R259" s="8" t="n">
        <f aca="false">IFERROR(N259/M259,0)</f>
        <v>0.98300283286119</v>
      </c>
      <c r="S259" s="8" t="n">
        <f aca="false">P259*Q259*R259</f>
        <v>0.695739348370927</v>
      </c>
    </row>
    <row r="260" customFormat="false" ht="15" hidden="false" customHeight="false" outlineLevel="0" collapsed="false">
      <c r="A260" s="4" t="n">
        <v>46125</v>
      </c>
      <c r="B260" s="5" t="n">
        <f aca="false">MONTH($A260)</f>
        <v>4</v>
      </c>
      <c r="C260" s="5" t="n">
        <v>3</v>
      </c>
      <c r="D260" s="6" t="str">
        <f aca="false">INDEX(Parametros!$B$16:$B$18,MATCH($C260,Parametros!$A$16:$A$18,0))</f>
        <v>E3 - Sellado y etiquetado</v>
      </c>
      <c r="E260" s="7" t="n">
        <f aca="false">IF(WEEKDAY($A260,2)&lt;6,Parametros!$B$21,Parametros!$B$22)</f>
        <v>6</v>
      </c>
      <c r="F260" s="7" t="n">
        <v>0.25</v>
      </c>
      <c r="G260" s="7" t="n">
        <f aca="false">E260-F260</f>
        <v>5.75</v>
      </c>
      <c r="H260" s="7" t="n">
        <v>0</v>
      </c>
      <c r="I260" s="7" t="n">
        <f aca="false">G260-H260</f>
        <v>5.75</v>
      </c>
      <c r="J260" s="6" t="s">
        <v>27</v>
      </c>
      <c r="K260" s="5" t="n">
        <f aca="false">INDEX(Parametros!$C$16:$C$18,MATCH($C260,Parametros!$A$16:$A$18,0))</f>
        <v>95</v>
      </c>
      <c r="L260" s="5" t="n">
        <f aca="false">I260*K260</f>
        <v>546.25</v>
      </c>
      <c r="M260" s="5" t="n">
        <v>347</v>
      </c>
      <c r="N260" s="5" t="n">
        <v>346</v>
      </c>
      <c r="O260" s="5" t="n">
        <f aca="false">M260-N260</f>
        <v>1</v>
      </c>
      <c r="P260" s="8" t="n">
        <f aca="false">IFERROR(I260/G260,0)</f>
        <v>1</v>
      </c>
      <c r="Q260" s="8" t="n">
        <f aca="false">IFERROR(M260/L260,0)</f>
        <v>0.635240274599542</v>
      </c>
      <c r="R260" s="8" t="n">
        <f aca="false">IFERROR(N260/M260,0)</f>
        <v>0.997118155619597</v>
      </c>
      <c r="S260" s="8" t="n">
        <f aca="false">P260*Q260*R260</f>
        <v>0.633409610983982</v>
      </c>
    </row>
    <row r="261" customFormat="false" ht="15" hidden="false" customHeight="false" outlineLevel="0" collapsed="false">
      <c r="A261" s="4" t="n">
        <v>46126</v>
      </c>
      <c r="B261" s="5" t="n">
        <f aca="false">MONTH($A261)</f>
        <v>4</v>
      </c>
      <c r="C261" s="5" t="n">
        <v>1</v>
      </c>
      <c r="D261" s="6" t="str">
        <f aca="false">INDEX(Parametros!$B$16:$B$18,MATCH($C261,Parametros!$A$16:$A$18,0))</f>
        <v>E1 - Lavado y sanitizado de bidones</v>
      </c>
      <c r="E261" s="7" t="n">
        <f aca="false">IF(WEEKDAY($A261,2)&lt;6,Parametros!$B$21,Parametros!$B$22)</f>
        <v>6</v>
      </c>
      <c r="F261" s="7" t="n">
        <v>0.5</v>
      </c>
      <c r="G261" s="7" t="n">
        <f aca="false">E261-F261</f>
        <v>5.5</v>
      </c>
      <c r="H261" s="7" t="n">
        <v>0</v>
      </c>
      <c r="I261" s="7" t="n">
        <f aca="false">G261-H261</f>
        <v>5.5</v>
      </c>
      <c r="J261" s="6" t="s">
        <v>27</v>
      </c>
      <c r="K261" s="5" t="n">
        <f aca="false">INDEX(Parametros!$C$16:$C$18,MATCH($C261,Parametros!$A$16:$A$18,0))</f>
        <v>100</v>
      </c>
      <c r="L261" s="5" t="n">
        <f aca="false">I261*K261</f>
        <v>550</v>
      </c>
      <c r="M261" s="5" t="n">
        <v>275</v>
      </c>
      <c r="N261" s="5" t="n">
        <v>272</v>
      </c>
      <c r="O261" s="5" t="n">
        <f aca="false">M261-N261</f>
        <v>3</v>
      </c>
      <c r="P261" s="8" t="n">
        <f aca="false">IFERROR(I261/G261,0)</f>
        <v>1</v>
      </c>
      <c r="Q261" s="8" t="n">
        <f aca="false">IFERROR(M261/L261,0)</f>
        <v>0.5</v>
      </c>
      <c r="R261" s="8" t="n">
        <f aca="false">IFERROR(N261/M261,0)</f>
        <v>0.989090909090909</v>
      </c>
      <c r="S261" s="8" t="n">
        <f aca="false">P261*Q261*R261</f>
        <v>0.494545454545455</v>
      </c>
    </row>
    <row r="262" customFormat="false" ht="15" hidden="false" customHeight="false" outlineLevel="0" collapsed="false">
      <c r="A262" s="4" t="n">
        <v>46126</v>
      </c>
      <c r="B262" s="5" t="n">
        <f aca="false">MONTH($A262)</f>
        <v>4</v>
      </c>
      <c r="C262" s="5" t="n">
        <v>2</v>
      </c>
      <c r="D262" s="6" t="str">
        <f aca="false">INDEX(Parametros!$B$16:$B$18,MATCH($C262,Parametros!$A$16:$A$18,0))</f>
        <v>E2 - Llenado y tapado</v>
      </c>
      <c r="E262" s="7" t="n">
        <f aca="false">IF(WEEKDAY($A262,2)&lt;6,Parametros!$B$21,Parametros!$B$22)</f>
        <v>6</v>
      </c>
      <c r="F262" s="7" t="n">
        <v>0.75</v>
      </c>
      <c r="G262" s="7" t="n">
        <f aca="false">E262-F262</f>
        <v>5.25</v>
      </c>
      <c r="H262" s="7" t="n">
        <v>0.75</v>
      </c>
      <c r="I262" s="7" t="n">
        <f aca="false">G262-H262</f>
        <v>4.5</v>
      </c>
      <c r="J262" s="6" t="s">
        <v>30</v>
      </c>
      <c r="K262" s="5" t="n">
        <f aca="false">INDEX(Parametros!$C$16:$C$18,MATCH($C262,Parametros!$A$16:$A$18,0))</f>
        <v>95</v>
      </c>
      <c r="L262" s="5" t="n">
        <f aca="false">I262*K262</f>
        <v>427.5</v>
      </c>
      <c r="M262" s="5" t="n">
        <v>272</v>
      </c>
      <c r="N262" s="5" t="n">
        <v>270</v>
      </c>
      <c r="O262" s="5" t="n">
        <f aca="false">M262-N262</f>
        <v>2</v>
      </c>
      <c r="P262" s="8" t="n">
        <f aca="false">IFERROR(I262/G262,0)</f>
        <v>0.857142857142857</v>
      </c>
      <c r="Q262" s="8" t="n">
        <f aca="false">IFERROR(M262/L262,0)</f>
        <v>0.636257309941521</v>
      </c>
      <c r="R262" s="8" t="n">
        <f aca="false">IFERROR(N262/M262,0)</f>
        <v>0.992647058823529</v>
      </c>
      <c r="S262" s="8" t="n">
        <f aca="false">P262*Q262*R262</f>
        <v>0.541353383458647</v>
      </c>
    </row>
    <row r="263" customFormat="false" ht="15" hidden="false" customHeight="false" outlineLevel="0" collapsed="false">
      <c r="A263" s="4" t="n">
        <v>46126</v>
      </c>
      <c r="B263" s="5" t="n">
        <f aca="false">MONTH($A263)</f>
        <v>4</v>
      </c>
      <c r="C263" s="5" t="n">
        <v>3</v>
      </c>
      <c r="D263" s="6" t="str">
        <f aca="false">INDEX(Parametros!$B$16:$B$18,MATCH($C263,Parametros!$A$16:$A$18,0))</f>
        <v>E3 - Sellado y etiquetado</v>
      </c>
      <c r="E263" s="7" t="n">
        <f aca="false">IF(WEEKDAY($A263,2)&lt;6,Parametros!$B$21,Parametros!$B$22)</f>
        <v>6</v>
      </c>
      <c r="F263" s="7" t="n">
        <v>0.25</v>
      </c>
      <c r="G263" s="7" t="n">
        <f aca="false">E263-F263</f>
        <v>5.75</v>
      </c>
      <c r="H263" s="7" t="n">
        <v>0</v>
      </c>
      <c r="I263" s="7" t="n">
        <f aca="false">G263-H263</f>
        <v>5.75</v>
      </c>
      <c r="J263" s="6" t="s">
        <v>27</v>
      </c>
      <c r="K263" s="5" t="n">
        <f aca="false">INDEX(Parametros!$C$16:$C$18,MATCH($C263,Parametros!$A$16:$A$18,0))</f>
        <v>95</v>
      </c>
      <c r="L263" s="5" t="n">
        <f aca="false">I263*K263</f>
        <v>546.25</v>
      </c>
      <c r="M263" s="5" t="n">
        <v>270</v>
      </c>
      <c r="N263" s="5" t="n">
        <v>269</v>
      </c>
      <c r="O263" s="5" t="n">
        <f aca="false">M263-N263</f>
        <v>1</v>
      </c>
      <c r="P263" s="8" t="n">
        <f aca="false">IFERROR(I263/G263,0)</f>
        <v>1</v>
      </c>
      <c r="Q263" s="8" t="n">
        <f aca="false">IFERROR(M263/L263,0)</f>
        <v>0.494279176201373</v>
      </c>
      <c r="R263" s="8" t="n">
        <f aca="false">IFERROR(N263/M263,0)</f>
        <v>0.996296296296296</v>
      </c>
      <c r="S263" s="8" t="n">
        <f aca="false">P263*Q263*R263</f>
        <v>0.492448512585812</v>
      </c>
    </row>
    <row r="264" customFormat="false" ht="15" hidden="false" customHeight="false" outlineLevel="0" collapsed="false">
      <c r="A264" s="4" t="n">
        <v>46127</v>
      </c>
      <c r="B264" s="5" t="n">
        <f aca="false">MONTH($A264)</f>
        <v>4</v>
      </c>
      <c r="C264" s="5" t="n">
        <v>1</v>
      </c>
      <c r="D264" s="6" t="str">
        <f aca="false">INDEX(Parametros!$B$16:$B$18,MATCH($C264,Parametros!$A$16:$A$18,0))</f>
        <v>E1 - Lavado y sanitizado de bidones</v>
      </c>
      <c r="E264" s="7" t="n">
        <f aca="false">IF(WEEKDAY($A264,2)&lt;6,Parametros!$B$21,Parametros!$B$22)</f>
        <v>6</v>
      </c>
      <c r="F264" s="7" t="n">
        <v>0.5</v>
      </c>
      <c r="G264" s="7" t="n">
        <f aca="false">E264-F264</f>
        <v>5.5</v>
      </c>
      <c r="H264" s="7" t="n">
        <v>0</v>
      </c>
      <c r="I264" s="7" t="n">
        <f aca="false">G264-H264</f>
        <v>5.5</v>
      </c>
      <c r="J264" s="6" t="s">
        <v>27</v>
      </c>
      <c r="K264" s="5" t="n">
        <f aca="false">INDEX(Parametros!$C$16:$C$18,MATCH($C264,Parametros!$A$16:$A$18,0))</f>
        <v>100</v>
      </c>
      <c r="L264" s="5" t="n">
        <f aca="false">I264*K264</f>
        <v>550</v>
      </c>
      <c r="M264" s="5" t="n">
        <v>314</v>
      </c>
      <c r="N264" s="5" t="n">
        <v>309</v>
      </c>
      <c r="O264" s="5" t="n">
        <f aca="false">M264-N264</f>
        <v>5</v>
      </c>
      <c r="P264" s="8" t="n">
        <f aca="false">IFERROR(I264/G264,0)</f>
        <v>1</v>
      </c>
      <c r="Q264" s="8" t="n">
        <f aca="false">IFERROR(M264/L264,0)</f>
        <v>0.570909090909091</v>
      </c>
      <c r="R264" s="8" t="n">
        <f aca="false">IFERROR(N264/M264,0)</f>
        <v>0.984076433121019</v>
      </c>
      <c r="S264" s="8" t="n">
        <f aca="false">P264*Q264*R264</f>
        <v>0.561818181818182</v>
      </c>
    </row>
    <row r="265" customFormat="false" ht="15" hidden="false" customHeight="false" outlineLevel="0" collapsed="false">
      <c r="A265" s="4" t="n">
        <v>46127</v>
      </c>
      <c r="B265" s="5" t="n">
        <f aca="false">MONTH($A265)</f>
        <v>4</v>
      </c>
      <c r="C265" s="5" t="n">
        <v>2</v>
      </c>
      <c r="D265" s="6" t="str">
        <f aca="false">INDEX(Parametros!$B$16:$B$18,MATCH($C265,Parametros!$A$16:$A$18,0))</f>
        <v>E2 - Llenado y tapado</v>
      </c>
      <c r="E265" s="7" t="n">
        <f aca="false">IF(WEEKDAY($A265,2)&lt;6,Parametros!$B$21,Parametros!$B$22)</f>
        <v>6</v>
      </c>
      <c r="F265" s="7" t="n">
        <v>0.75</v>
      </c>
      <c r="G265" s="7" t="n">
        <f aca="false">E265-F265</f>
        <v>5.25</v>
      </c>
      <c r="H265" s="7" t="n">
        <v>0.25</v>
      </c>
      <c r="I265" s="7" t="n">
        <f aca="false">G265-H265</f>
        <v>5</v>
      </c>
      <c r="J265" s="6" t="s">
        <v>28</v>
      </c>
      <c r="K265" s="5" t="n">
        <f aca="false">INDEX(Parametros!$C$16:$C$18,MATCH($C265,Parametros!$A$16:$A$18,0))</f>
        <v>95</v>
      </c>
      <c r="L265" s="5" t="n">
        <f aca="false">I265*K265</f>
        <v>475</v>
      </c>
      <c r="M265" s="5" t="n">
        <v>309</v>
      </c>
      <c r="N265" s="5" t="n">
        <v>301</v>
      </c>
      <c r="O265" s="5" t="n">
        <f aca="false">M265-N265</f>
        <v>8</v>
      </c>
      <c r="P265" s="8" t="n">
        <f aca="false">IFERROR(I265/G265,0)</f>
        <v>0.952380952380952</v>
      </c>
      <c r="Q265" s="8" t="n">
        <f aca="false">IFERROR(M265/L265,0)</f>
        <v>0.650526315789474</v>
      </c>
      <c r="R265" s="8" t="n">
        <f aca="false">IFERROR(N265/M265,0)</f>
        <v>0.97411003236246</v>
      </c>
      <c r="S265" s="8" t="n">
        <f aca="false">P265*Q265*R265</f>
        <v>0.603508771929825</v>
      </c>
    </row>
    <row r="266" customFormat="false" ht="15" hidden="false" customHeight="false" outlineLevel="0" collapsed="false">
      <c r="A266" s="4" t="n">
        <v>46127</v>
      </c>
      <c r="B266" s="5" t="n">
        <f aca="false">MONTH($A266)</f>
        <v>4</v>
      </c>
      <c r="C266" s="5" t="n">
        <v>3</v>
      </c>
      <c r="D266" s="6" t="str">
        <f aca="false">INDEX(Parametros!$B$16:$B$18,MATCH($C266,Parametros!$A$16:$A$18,0))</f>
        <v>E3 - Sellado y etiquetado</v>
      </c>
      <c r="E266" s="7" t="n">
        <f aca="false">IF(WEEKDAY($A266,2)&lt;6,Parametros!$B$21,Parametros!$B$22)</f>
        <v>6</v>
      </c>
      <c r="F266" s="7" t="n">
        <v>0.25</v>
      </c>
      <c r="G266" s="7" t="n">
        <f aca="false">E266-F266</f>
        <v>5.75</v>
      </c>
      <c r="H266" s="7" t="n">
        <v>0</v>
      </c>
      <c r="I266" s="7" t="n">
        <f aca="false">G266-H266</f>
        <v>5.75</v>
      </c>
      <c r="J266" s="6" t="s">
        <v>27</v>
      </c>
      <c r="K266" s="5" t="n">
        <f aca="false">INDEX(Parametros!$C$16:$C$18,MATCH($C266,Parametros!$A$16:$A$18,0))</f>
        <v>95</v>
      </c>
      <c r="L266" s="5" t="n">
        <f aca="false">I266*K266</f>
        <v>546.25</v>
      </c>
      <c r="M266" s="5" t="n">
        <v>301</v>
      </c>
      <c r="N266" s="5" t="n">
        <v>300</v>
      </c>
      <c r="O266" s="5" t="n">
        <f aca="false">M266-N266</f>
        <v>1</v>
      </c>
      <c r="P266" s="8" t="n">
        <f aca="false">IFERROR(I266/G266,0)</f>
        <v>1</v>
      </c>
      <c r="Q266" s="8" t="n">
        <f aca="false">IFERROR(M266/L266,0)</f>
        <v>0.551029748283753</v>
      </c>
      <c r="R266" s="8" t="n">
        <f aca="false">IFERROR(N266/M266,0)</f>
        <v>0.996677740863787</v>
      </c>
      <c r="S266" s="8" t="n">
        <f aca="false">P266*Q266*R266</f>
        <v>0.549199084668192</v>
      </c>
    </row>
    <row r="267" customFormat="false" ht="15" hidden="false" customHeight="false" outlineLevel="0" collapsed="false">
      <c r="A267" s="4" t="n">
        <v>46128</v>
      </c>
      <c r="B267" s="5" t="n">
        <f aca="false">MONTH($A267)</f>
        <v>4</v>
      </c>
      <c r="C267" s="5" t="n">
        <v>1</v>
      </c>
      <c r="D267" s="6" t="str">
        <f aca="false">INDEX(Parametros!$B$16:$B$18,MATCH($C267,Parametros!$A$16:$A$18,0))</f>
        <v>E1 - Lavado y sanitizado de bidones</v>
      </c>
      <c r="E267" s="7" t="n">
        <f aca="false">IF(WEEKDAY($A267,2)&lt;6,Parametros!$B$21,Parametros!$B$22)</f>
        <v>6</v>
      </c>
      <c r="F267" s="7" t="n">
        <v>0.5</v>
      </c>
      <c r="G267" s="7" t="n">
        <f aca="false">E267-F267</f>
        <v>5.5</v>
      </c>
      <c r="H267" s="7" t="n">
        <v>0.75</v>
      </c>
      <c r="I267" s="7" t="n">
        <f aca="false">G267-H267</f>
        <v>4.75</v>
      </c>
      <c r="J267" s="6" t="s">
        <v>24</v>
      </c>
      <c r="K267" s="5" t="n">
        <f aca="false">INDEX(Parametros!$C$16:$C$18,MATCH($C267,Parametros!$A$16:$A$18,0))</f>
        <v>100</v>
      </c>
      <c r="L267" s="5" t="n">
        <f aca="false">I267*K267</f>
        <v>475</v>
      </c>
      <c r="M267" s="5" t="n">
        <v>304</v>
      </c>
      <c r="N267" s="5" t="n">
        <v>300</v>
      </c>
      <c r="O267" s="5" t="n">
        <f aca="false">M267-N267</f>
        <v>4</v>
      </c>
      <c r="P267" s="8" t="n">
        <f aca="false">IFERROR(I267/G267,0)</f>
        <v>0.863636363636364</v>
      </c>
      <c r="Q267" s="8" t="n">
        <f aca="false">IFERROR(M267/L267,0)</f>
        <v>0.64</v>
      </c>
      <c r="R267" s="8" t="n">
        <f aca="false">IFERROR(N267/M267,0)</f>
        <v>0.986842105263158</v>
      </c>
      <c r="S267" s="8" t="n">
        <f aca="false">P267*Q267*R267</f>
        <v>0.545454545454545</v>
      </c>
    </row>
    <row r="268" customFormat="false" ht="15" hidden="false" customHeight="false" outlineLevel="0" collapsed="false">
      <c r="A268" s="4" t="n">
        <v>46128</v>
      </c>
      <c r="B268" s="5" t="n">
        <f aca="false">MONTH($A268)</f>
        <v>4</v>
      </c>
      <c r="C268" s="5" t="n">
        <v>2</v>
      </c>
      <c r="D268" s="6" t="str">
        <f aca="false">INDEX(Parametros!$B$16:$B$18,MATCH($C268,Parametros!$A$16:$A$18,0))</f>
        <v>E2 - Llenado y tapado</v>
      </c>
      <c r="E268" s="7" t="n">
        <f aca="false">IF(WEEKDAY($A268,2)&lt;6,Parametros!$B$21,Parametros!$B$22)</f>
        <v>6</v>
      </c>
      <c r="F268" s="7" t="n">
        <v>0.75</v>
      </c>
      <c r="G268" s="7" t="n">
        <f aca="false">E268-F268</f>
        <v>5.25</v>
      </c>
      <c r="H268" s="7" t="n">
        <v>0.25</v>
      </c>
      <c r="I268" s="7" t="n">
        <f aca="false">G268-H268</f>
        <v>5</v>
      </c>
      <c r="J268" s="6" t="s">
        <v>28</v>
      </c>
      <c r="K268" s="5" t="n">
        <f aca="false">INDEX(Parametros!$C$16:$C$18,MATCH($C268,Parametros!$A$16:$A$18,0))</f>
        <v>95</v>
      </c>
      <c r="L268" s="5" t="n">
        <f aca="false">I268*K268</f>
        <v>475</v>
      </c>
      <c r="M268" s="5" t="n">
        <v>300</v>
      </c>
      <c r="N268" s="5" t="n">
        <v>292</v>
      </c>
      <c r="O268" s="5" t="n">
        <f aca="false">M268-N268</f>
        <v>8</v>
      </c>
      <c r="P268" s="8" t="n">
        <f aca="false">IFERROR(I268/G268,0)</f>
        <v>0.952380952380952</v>
      </c>
      <c r="Q268" s="8" t="n">
        <f aca="false">IFERROR(M268/L268,0)</f>
        <v>0.631578947368421</v>
      </c>
      <c r="R268" s="8" t="n">
        <f aca="false">IFERROR(N268/M268,0)</f>
        <v>0.973333333333333</v>
      </c>
      <c r="S268" s="8" t="n">
        <f aca="false">P268*Q268*R268</f>
        <v>0.58546365914787</v>
      </c>
    </row>
    <row r="269" customFormat="false" ht="15" hidden="false" customHeight="false" outlineLevel="0" collapsed="false">
      <c r="A269" s="4" t="n">
        <v>46128</v>
      </c>
      <c r="B269" s="5" t="n">
        <f aca="false">MONTH($A269)</f>
        <v>4</v>
      </c>
      <c r="C269" s="5" t="n">
        <v>3</v>
      </c>
      <c r="D269" s="6" t="str">
        <f aca="false">INDEX(Parametros!$B$16:$B$18,MATCH($C269,Parametros!$A$16:$A$18,0))</f>
        <v>E3 - Sellado y etiquetado</v>
      </c>
      <c r="E269" s="7" t="n">
        <f aca="false">IF(WEEKDAY($A269,2)&lt;6,Parametros!$B$21,Parametros!$B$22)</f>
        <v>6</v>
      </c>
      <c r="F269" s="7" t="n">
        <v>0.25</v>
      </c>
      <c r="G269" s="7" t="n">
        <f aca="false">E269-F269</f>
        <v>5.75</v>
      </c>
      <c r="H269" s="7" t="n">
        <v>0.25</v>
      </c>
      <c r="I269" s="7" t="n">
        <f aca="false">G269-H269</f>
        <v>5.5</v>
      </c>
      <c r="J269" s="6" t="s">
        <v>23</v>
      </c>
      <c r="K269" s="5" t="n">
        <f aca="false">INDEX(Parametros!$C$16:$C$18,MATCH($C269,Parametros!$A$16:$A$18,0))</f>
        <v>95</v>
      </c>
      <c r="L269" s="5" t="n">
        <f aca="false">I269*K269</f>
        <v>522.5</v>
      </c>
      <c r="M269" s="5" t="n">
        <v>292</v>
      </c>
      <c r="N269" s="5" t="n">
        <v>291</v>
      </c>
      <c r="O269" s="5" t="n">
        <f aca="false">M269-N269</f>
        <v>1</v>
      </c>
      <c r="P269" s="8" t="n">
        <f aca="false">IFERROR(I269/G269,0)</f>
        <v>0.956521739130435</v>
      </c>
      <c r="Q269" s="8" t="n">
        <f aca="false">IFERROR(M269/L269,0)</f>
        <v>0.558851674641148</v>
      </c>
      <c r="R269" s="8" t="n">
        <f aca="false">IFERROR(N269/M269,0)</f>
        <v>0.996575342465753</v>
      </c>
      <c r="S269" s="8" t="n">
        <f aca="false">P269*Q269*R269</f>
        <v>0.532723112128147</v>
      </c>
    </row>
    <row r="270" customFormat="false" ht="15" hidden="false" customHeight="false" outlineLevel="0" collapsed="false">
      <c r="A270" s="4" t="n">
        <v>46129</v>
      </c>
      <c r="B270" s="5" t="n">
        <f aca="false">MONTH($A270)</f>
        <v>4</v>
      </c>
      <c r="C270" s="5" t="n">
        <v>1</v>
      </c>
      <c r="D270" s="6" t="str">
        <f aca="false">INDEX(Parametros!$B$16:$B$18,MATCH($C270,Parametros!$A$16:$A$18,0))</f>
        <v>E1 - Lavado y sanitizado de bidones</v>
      </c>
      <c r="E270" s="7" t="n">
        <f aca="false">IF(WEEKDAY($A270,2)&lt;6,Parametros!$B$21,Parametros!$B$22)</f>
        <v>6</v>
      </c>
      <c r="F270" s="7" t="n">
        <v>0.5</v>
      </c>
      <c r="G270" s="7" t="n">
        <f aca="false">E270-F270</f>
        <v>5.5</v>
      </c>
      <c r="H270" s="7" t="n">
        <v>0</v>
      </c>
      <c r="I270" s="7" t="n">
        <f aca="false">G270-H270</f>
        <v>5.5</v>
      </c>
      <c r="J270" s="6" t="s">
        <v>27</v>
      </c>
      <c r="K270" s="5" t="n">
        <f aca="false">INDEX(Parametros!$C$16:$C$18,MATCH($C270,Parametros!$A$16:$A$18,0))</f>
        <v>100</v>
      </c>
      <c r="L270" s="5" t="n">
        <f aca="false">I270*K270</f>
        <v>550</v>
      </c>
      <c r="M270" s="5" t="n">
        <v>313</v>
      </c>
      <c r="N270" s="5" t="n">
        <v>309</v>
      </c>
      <c r="O270" s="5" t="n">
        <f aca="false">M270-N270</f>
        <v>4</v>
      </c>
      <c r="P270" s="8" t="n">
        <f aca="false">IFERROR(I270/G270,0)</f>
        <v>1</v>
      </c>
      <c r="Q270" s="8" t="n">
        <f aca="false">IFERROR(M270/L270,0)</f>
        <v>0.569090909090909</v>
      </c>
      <c r="R270" s="8" t="n">
        <f aca="false">IFERROR(N270/M270,0)</f>
        <v>0.987220447284345</v>
      </c>
      <c r="S270" s="8" t="n">
        <f aca="false">P270*Q270*R270</f>
        <v>0.561818181818182</v>
      </c>
    </row>
    <row r="271" customFormat="false" ht="15" hidden="false" customHeight="false" outlineLevel="0" collapsed="false">
      <c r="A271" s="4" t="n">
        <v>46129</v>
      </c>
      <c r="B271" s="5" t="n">
        <f aca="false">MONTH($A271)</f>
        <v>4</v>
      </c>
      <c r="C271" s="5" t="n">
        <v>2</v>
      </c>
      <c r="D271" s="6" t="str">
        <f aca="false">INDEX(Parametros!$B$16:$B$18,MATCH($C271,Parametros!$A$16:$A$18,0))</f>
        <v>E2 - Llenado y tapado</v>
      </c>
      <c r="E271" s="7" t="n">
        <f aca="false">IF(WEEKDAY($A271,2)&lt;6,Parametros!$B$21,Parametros!$B$22)</f>
        <v>6</v>
      </c>
      <c r="F271" s="7" t="n">
        <v>0.75</v>
      </c>
      <c r="G271" s="7" t="n">
        <f aca="false">E271-F271</f>
        <v>5.25</v>
      </c>
      <c r="H271" s="7" t="n">
        <v>0.75</v>
      </c>
      <c r="I271" s="7" t="n">
        <f aca="false">G271-H271</f>
        <v>4.5</v>
      </c>
      <c r="J271" s="6" t="s">
        <v>23</v>
      </c>
      <c r="K271" s="5" t="n">
        <f aca="false">INDEX(Parametros!$C$16:$C$18,MATCH($C271,Parametros!$A$16:$A$18,0))</f>
        <v>95</v>
      </c>
      <c r="L271" s="5" t="n">
        <f aca="false">I271*K271</f>
        <v>427.5</v>
      </c>
      <c r="M271" s="5" t="n">
        <v>309</v>
      </c>
      <c r="N271" s="5" t="n">
        <v>302</v>
      </c>
      <c r="O271" s="5" t="n">
        <f aca="false">M271-N271</f>
        <v>7</v>
      </c>
      <c r="P271" s="8" t="n">
        <f aca="false">IFERROR(I271/G271,0)</f>
        <v>0.857142857142857</v>
      </c>
      <c r="Q271" s="8" t="n">
        <f aca="false">IFERROR(M271/L271,0)</f>
        <v>0.72280701754386</v>
      </c>
      <c r="R271" s="8" t="n">
        <f aca="false">IFERROR(N271/M271,0)</f>
        <v>0.977346278317152</v>
      </c>
      <c r="S271" s="8" t="n">
        <f aca="false">P271*Q271*R271</f>
        <v>0.605513784461153</v>
      </c>
    </row>
    <row r="272" customFormat="false" ht="15" hidden="false" customHeight="false" outlineLevel="0" collapsed="false">
      <c r="A272" s="4" t="n">
        <v>46129</v>
      </c>
      <c r="B272" s="5" t="n">
        <f aca="false">MONTH($A272)</f>
        <v>4</v>
      </c>
      <c r="C272" s="5" t="n">
        <v>3</v>
      </c>
      <c r="D272" s="6" t="str">
        <f aca="false">INDEX(Parametros!$B$16:$B$18,MATCH($C272,Parametros!$A$16:$A$18,0))</f>
        <v>E3 - Sellado y etiquetado</v>
      </c>
      <c r="E272" s="7" t="n">
        <f aca="false">IF(WEEKDAY($A272,2)&lt;6,Parametros!$B$21,Parametros!$B$22)</f>
        <v>6</v>
      </c>
      <c r="F272" s="7" t="n">
        <v>0.5</v>
      </c>
      <c r="G272" s="7" t="n">
        <f aca="false">E272-F272</f>
        <v>5.5</v>
      </c>
      <c r="H272" s="7" t="n">
        <v>0</v>
      </c>
      <c r="I272" s="7" t="n">
        <f aca="false">G272-H272</f>
        <v>5.5</v>
      </c>
      <c r="J272" s="6" t="s">
        <v>27</v>
      </c>
      <c r="K272" s="5" t="n">
        <f aca="false">INDEX(Parametros!$C$16:$C$18,MATCH($C272,Parametros!$A$16:$A$18,0))</f>
        <v>95</v>
      </c>
      <c r="L272" s="5" t="n">
        <f aca="false">I272*K272</f>
        <v>522.5</v>
      </c>
      <c r="M272" s="5" t="n">
        <v>302</v>
      </c>
      <c r="N272" s="5" t="n">
        <v>299</v>
      </c>
      <c r="O272" s="5" t="n">
        <f aca="false">M272-N272</f>
        <v>3</v>
      </c>
      <c r="P272" s="8" t="n">
        <f aca="false">IFERROR(I272/G272,0)</f>
        <v>1</v>
      </c>
      <c r="Q272" s="8" t="n">
        <f aca="false">IFERROR(M272/L272,0)</f>
        <v>0.57799043062201</v>
      </c>
      <c r="R272" s="8" t="n">
        <f aca="false">IFERROR(N272/M272,0)</f>
        <v>0.990066225165563</v>
      </c>
      <c r="S272" s="8" t="n">
        <f aca="false">P272*Q272*R272</f>
        <v>0.572248803827751</v>
      </c>
    </row>
    <row r="273" customFormat="false" ht="15" hidden="false" customHeight="false" outlineLevel="0" collapsed="false">
      <c r="A273" s="4" t="n">
        <v>46130</v>
      </c>
      <c r="B273" s="5" t="n">
        <f aca="false">MONTH($A273)</f>
        <v>4</v>
      </c>
      <c r="C273" s="5" t="n">
        <v>1</v>
      </c>
      <c r="D273" s="6" t="str">
        <f aca="false">INDEX(Parametros!$B$16:$B$18,MATCH($C273,Parametros!$A$16:$A$18,0))</f>
        <v>E1 - Lavado y sanitizado de bidones</v>
      </c>
      <c r="E273" s="7" t="n">
        <f aca="false">IF(WEEKDAY($A273,2)&lt;6,Parametros!$B$21,Parametros!$B$22)</f>
        <v>4</v>
      </c>
      <c r="F273" s="7" t="n">
        <v>0.75</v>
      </c>
      <c r="G273" s="7" t="n">
        <f aca="false">E273-F273</f>
        <v>3.25</v>
      </c>
      <c r="H273" s="7" t="n">
        <v>0.25</v>
      </c>
      <c r="I273" s="7" t="n">
        <f aca="false">G273-H273</f>
        <v>3</v>
      </c>
      <c r="J273" s="6" t="s">
        <v>22</v>
      </c>
      <c r="K273" s="5" t="n">
        <f aca="false">INDEX(Parametros!$C$16:$C$18,MATCH($C273,Parametros!$A$16:$A$18,0))</f>
        <v>100</v>
      </c>
      <c r="L273" s="5" t="n">
        <f aca="false">I273*K273</f>
        <v>300</v>
      </c>
      <c r="M273" s="5" t="n">
        <v>227</v>
      </c>
      <c r="N273" s="5" t="n">
        <v>224</v>
      </c>
      <c r="O273" s="5" t="n">
        <f aca="false">M273-N273</f>
        <v>3</v>
      </c>
      <c r="P273" s="8" t="n">
        <f aca="false">IFERROR(I273/G273,0)</f>
        <v>0.923076923076923</v>
      </c>
      <c r="Q273" s="8" t="n">
        <f aca="false">IFERROR(M273/L273,0)</f>
        <v>0.756666666666667</v>
      </c>
      <c r="R273" s="8" t="n">
        <f aca="false">IFERROR(N273/M273,0)</f>
        <v>0.986784140969163</v>
      </c>
      <c r="S273" s="8" t="n">
        <f aca="false">P273*Q273*R273</f>
        <v>0.689230769230769</v>
      </c>
    </row>
    <row r="274" customFormat="false" ht="15" hidden="false" customHeight="false" outlineLevel="0" collapsed="false">
      <c r="A274" s="4" t="n">
        <v>46130</v>
      </c>
      <c r="B274" s="5" t="n">
        <f aca="false">MONTH($A274)</f>
        <v>4</v>
      </c>
      <c r="C274" s="5" t="n">
        <v>2</v>
      </c>
      <c r="D274" s="6" t="str">
        <f aca="false">INDEX(Parametros!$B$16:$B$18,MATCH($C274,Parametros!$A$16:$A$18,0))</f>
        <v>E2 - Llenado y tapado</v>
      </c>
      <c r="E274" s="7" t="n">
        <f aca="false">IF(WEEKDAY($A274,2)&lt;6,Parametros!$B$21,Parametros!$B$22)</f>
        <v>4</v>
      </c>
      <c r="F274" s="7" t="n">
        <v>1.25</v>
      </c>
      <c r="G274" s="7" t="n">
        <f aca="false">E274-F274</f>
        <v>2.75</v>
      </c>
      <c r="H274" s="7" t="n">
        <v>0</v>
      </c>
      <c r="I274" s="7" t="n">
        <f aca="false">G274-H274</f>
        <v>2.75</v>
      </c>
      <c r="J274" s="6" t="s">
        <v>27</v>
      </c>
      <c r="K274" s="5" t="n">
        <f aca="false">INDEX(Parametros!$C$16:$C$18,MATCH($C274,Parametros!$A$16:$A$18,0))</f>
        <v>95</v>
      </c>
      <c r="L274" s="5" t="n">
        <f aca="false">I274*K274</f>
        <v>261.25</v>
      </c>
      <c r="M274" s="5" t="n">
        <v>224</v>
      </c>
      <c r="N274" s="5" t="n">
        <v>220</v>
      </c>
      <c r="O274" s="5" t="n">
        <f aca="false">M274-N274</f>
        <v>4</v>
      </c>
      <c r="P274" s="8" t="n">
        <f aca="false">IFERROR(I274/G274,0)</f>
        <v>1</v>
      </c>
      <c r="Q274" s="8" t="n">
        <f aca="false">IFERROR(M274/L274,0)</f>
        <v>0.857416267942584</v>
      </c>
      <c r="R274" s="8" t="n">
        <f aca="false">IFERROR(N274/M274,0)</f>
        <v>0.982142857142857</v>
      </c>
      <c r="S274" s="8" t="n">
        <f aca="false">P274*Q274*R274</f>
        <v>0.842105263157895</v>
      </c>
    </row>
    <row r="275" customFormat="false" ht="15" hidden="false" customHeight="false" outlineLevel="0" collapsed="false">
      <c r="A275" s="4" t="n">
        <v>46130</v>
      </c>
      <c r="B275" s="5" t="n">
        <f aca="false">MONTH($A275)</f>
        <v>4</v>
      </c>
      <c r="C275" s="5" t="n">
        <v>3</v>
      </c>
      <c r="D275" s="6" t="str">
        <f aca="false">INDEX(Parametros!$B$16:$B$18,MATCH($C275,Parametros!$A$16:$A$18,0))</f>
        <v>E3 - Sellado y etiquetado</v>
      </c>
      <c r="E275" s="7" t="n">
        <f aca="false">IF(WEEKDAY($A275,2)&lt;6,Parametros!$B$21,Parametros!$B$22)</f>
        <v>4</v>
      </c>
      <c r="F275" s="7" t="n">
        <v>0.75</v>
      </c>
      <c r="G275" s="7" t="n">
        <f aca="false">E275-F275</f>
        <v>3.25</v>
      </c>
      <c r="H275" s="7" t="n">
        <v>0</v>
      </c>
      <c r="I275" s="7" t="n">
        <f aca="false">G275-H275</f>
        <v>3.25</v>
      </c>
      <c r="J275" s="6" t="s">
        <v>27</v>
      </c>
      <c r="K275" s="5" t="n">
        <f aca="false">INDEX(Parametros!$C$16:$C$18,MATCH($C275,Parametros!$A$16:$A$18,0))</f>
        <v>95</v>
      </c>
      <c r="L275" s="5" t="n">
        <f aca="false">I275*K275</f>
        <v>308.75</v>
      </c>
      <c r="M275" s="5" t="n">
        <v>220</v>
      </c>
      <c r="N275" s="5" t="n">
        <v>218</v>
      </c>
      <c r="O275" s="5" t="n">
        <f aca="false">M275-N275</f>
        <v>2</v>
      </c>
      <c r="P275" s="8" t="n">
        <f aca="false">IFERROR(I275/G275,0)</f>
        <v>1</v>
      </c>
      <c r="Q275" s="8" t="n">
        <f aca="false">IFERROR(M275/L275,0)</f>
        <v>0.712550607287449</v>
      </c>
      <c r="R275" s="8" t="n">
        <f aca="false">IFERROR(N275/M275,0)</f>
        <v>0.990909090909091</v>
      </c>
      <c r="S275" s="8" t="n">
        <f aca="false">P275*Q275*R275</f>
        <v>0.706072874493927</v>
      </c>
    </row>
    <row r="276" customFormat="false" ht="15" hidden="false" customHeight="false" outlineLevel="0" collapsed="false">
      <c r="A276" s="4" t="n">
        <v>46132</v>
      </c>
      <c r="B276" s="5" t="n">
        <f aca="false">MONTH($A276)</f>
        <v>4</v>
      </c>
      <c r="C276" s="5" t="n">
        <v>1</v>
      </c>
      <c r="D276" s="6" t="str">
        <f aca="false">INDEX(Parametros!$B$16:$B$18,MATCH($C276,Parametros!$A$16:$A$18,0))</f>
        <v>E1 - Lavado y sanitizado de bidones</v>
      </c>
      <c r="E276" s="7" t="n">
        <f aca="false">IF(WEEKDAY($A276,2)&lt;6,Parametros!$B$21,Parametros!$B$22)</f>
        <v>6</v>
      </c>
      <c r="F276" s="7" t="n">
        <v>0.5</v>
      </c>
      <c r="G276" s="7" t="n">
        <f aca="false">E276-F276</f>
        <v>5.5</v>
      </c>
      <c r="H276" s="7" t="n">
        <v>0.5</v>
      </c>
      <c r="I276" s="7" t="n">
        <f aca="false">G276-H276</f>
        <v>5</v>
      </c>
      <c r="J276" s="6" t="s">
        <v>22</v>
      </c>
      <c r="K276" s="5" t="n">
        <f aca="false">INDEX(Parametros!$C$16:$C$18,MATCH($C276,Parametros!$A$16:$A$18,0))</f>
        <v>100</v>
      </c>
      <c r="L276" s="5" t="n">
        <f aca="false">I276*K276</f>
        <v>500</v>
      </c>
      <c r="M276" s="5" t="n">
        <v>319</v>
      </c>
      <c r="N276" s="5" t="n">
        <v>317</v>
      </c>
      <c r="O276" s="5" t="n">
        <f aca="false">M276-N276</f>
        <v>2</v>
      </c>
      <c r="P276" s="8" t="n">
        <f aca="false">IFERROR(I276/G276,0)</f>
        <v>0.909090909090909</v>
      </c>
      <c r="Q276" s="8" t="n">
        <f aca="false">IFERROR(M276/L276,0)</f>
        <v>0.638</v>
      </c>
      <c r="R276" s="8" t="n">
        <f aca="false">IFERROR(N276/M276,0)</f>
        <v>0.993730407523511</v>
      </c>
      <c r="S276" s="8" t="n">
        <f aca="false">P276*Q276*R276</f>
        <v>0.576363636363636</v>
      </c>
    </row>
    <row r="277" customFormat="false" ht="15" hidden="false" customHeight="false" outlineLevel="0" collapsed="false">
      <c r="A277" s="4" t="n">
        <v>46132</v>
      </c>
      <c r="B277" s="5" t="n">
        <f aca="false">MONTH($A277)</f>
        <v>4</v>
      </c>
      <c r="C277" s="5" t="n">
        <v>2</v>
      </c>
      <c r="D277" s="6" t="str">
        <f aca="false">INDEX(Parametros!$B$16:$B$18,MATCH($C277,Parametros!$A$16:$A$18,0))</f>
        <v>E2 - Llenado y tapado</v>
      </c>
      <c r="E277" s="7" t="n">
        <f aca="false">IF(WEEKDAY($A277,2)&lt;6,Parametros!$B$21,Parametros!$B$22)</f>
        <v>6</v>
      </c>
      <c r="F277" s="7" t="n">
        <v>0.75</v>
      </c>
      <c r="G277" s="7" t="n">
        <f aca="false">E277-F277</f>
        <v>5.25</v>
      </c>
      <c r="H277" s="7" t="n">
        <v>1</v>
      </c>
      <c r="I277" s="7" t="n">
        <f aca="false">G277-H277</f>
        <v>4.25</v>
      </c>
      <c r="J277" s="6" t="s">
        <v>28</v>
      </c>
      <c r="K277" s="5" t="n">
        <f aca="false">INDEX(Parametros!$C$16:$C$18,MATCH($C277,Parametros!$A$16:$A$18,0))</f>
        <v>95</v>
      </c>
      <c r="L277" s="5" t="n">
        <f aca="false">I277*K277</f>
        <v>403.75</v>
      </c>
      <c r="M277" s="5" t="n">
        <v>317</v>
      </c>
      <c r="N277" s="5" t="n">
        <v>313</v>
      </c>
      <c r="O277" s="5" t="n">
        <f aca="false">M277-N277</f>
        <v>4</v>
      </c>
      <c r="P277" s="8" t="n">
        <f aca="false">IFERROR(I277/G277,0)</f>
        <v>0.80952380952381</v>
      </c>
      <c r="Q277" s="8" t="n">
        <f aca="false">IFERROR(M277/L277,0)</f>
        <v>0.785139318885449</v>
      </c>
      <c r="R277" s="8" t="n">
        <f aca="false">IFERROR(N277/M277,0)</f>
        <v>0.987381703470032</v>
      </c>
      <c r="S277" s="8" t="n">
        <f aca="false">P277*Q277*R277</f>
        <v>0.627568922305764</v>
      </c>
    </row>
    <row r="278" customFormat="false" ht="15" hidden="false" customHeight="false" outlineLevel="0" collapsed="false">
      <c r="A278" s="4" t="n">
        <v>46132</v>
      </c>
      <c r="B278" s="5" t="n">
        <f aca="false">MONTH($A278)</f>
        <v>4</v>
      </c>
      <c r="C278" s="5" t="n">
        <v>3</v>
      </c>
      <c r="D278" s="6" t="str">
        <f aca="false">INDEX(Parametros!$B$16:$B$18,MATCH($C278,Parametros!$A$16:$A$18,0))</f>
        <v>E3 - Sellado y etiquetado</v>
      </c>
      <c r="E278" s="7" t="n">
        <f aca="false">IF(WEEKDAY($A278,2)&lt;6,Parametros!$B$21,Parametros!$B$22)</f>
        <v>6</v>
      </c>
      <c r="F278" s="7" t="n">
        <v>0.25</v>
      </c>
      <c r="G278" s="7" t="n">
        <f aca="false">E278-F278</f>
        <v>5.75</v>
      </c>
      <c r="H278" s="7" t="n">
        <v>0</v>
      </c>
      <c r="I278" s="7" t="n">
        <f aca="false">G278-H278</f>
        <v>5.75</v>
      </c>
      <c r="J278" s="6" t="s">
        <v>27</v>
      </c>
      <c r="K278" s="5" t="n">
        <f aca="false">INDEX(Parametros!$C$16:$C$18,MATCH($C278,Parametros!$A$16:$A$18,0))</f>
        <v>95</v>
      </c>
      <c r="L278" s="5" t="n">
        <f aca="false">I278*K278</f>
        <v>546.25</v>
      </c>
      <c r="M278" s="5" t="n">
        <v>313</v>
      </c>
      <c r="N278" s="5" t="n">
        <v>310</v>
      </c>
      <c r="O278" s="5" t="n">
        <f aca="false">M278-N278</f>
        <v>3</v>
      </c>
      <c r="P278" s="8" t="n">
        <f aca="false">IFERROR(I278/G278,0)</f>
        <v>1</v>
      </c>
      <c r="Q278" s="8" t="n">
        <f aca="false">IFERROR(M278/L278,0)</f>
        <v>0.572997711670481</v>
      </c>
      <c r="R278" s="8" t="n">
        <f aca="false">IFERROR(N278/M278,0)</f>
        <v>0.990415335463259</v>
      </c>
      <c r="S278" s="8" t="n">
        <f aca="false">P278*Q278*R278</f>
        <v>0.567505720823799</v>
      </c>
    </row>
    <row r="279" customFormat="false" ht="15" hidden="false" customHeight="false" outlineLevel="0" collapsed="false">
      <c r="A279" s="4" t="n">
        <v>46133</v>
      </c>
      <c r="B279" s="5" t="n">
        <f aca="false">MONTH($A279)</f>
        <v>4</v>
      </c>
      <c r="C279" s="5" t="n">
        <v>1</v>
      </c>
      <c r="D279" s="6" t="str">
        <f aca="false">INDEX(Parametros!$B$16:$B$18,MATCH($C279,Parametros!$A$16:$A$18,0))</f>
        <v>E1 - Lavado y sanitizado de bidones</v>
      </c>
      <c r="E279" s="7" t="n">
        <f aca="false">IF(WEEKDAY($A279,2)&lt;6,Parametros!$B$21,Parametros!$B$22)</f>
        <v>6</v>
      </c>
      <c r="F279" s="7" t="n">
        <v>0.75</v>
      </c>
      <c r="G279" s="7" t="n">
        <f aca="false">E279-F279</f>
        <v>5.25</v>
      </c>
      <c r="H279" s="7" t="n">
        <v>0.25</v>
      </c>
      <c r="I279" s="7" t="n">
        <f aca="false">G279-H279</f>
        <v>5</v>
      </c>
      <c r="J279" s="6" t="s">
        <v>22</v>
      </c>
      <c r="K279" s="5" t="n">
        <f aca="false">INDEX(Parametros!$C$16:$C$18,MATCH($C279,Parametros!$A$16:$A$18,0))</f>
        <v>100</v>
      </c>
      <c r="L279" s="5" t="n">
        <f aca="false">I279*K279</f>
        <v>500</v>
      </c>
      <c r="M279" s="5" t="n">
        <v>327</v>
      </c>
      <c r="N279" s="5" t="n">
        <v>323</v>
      </c>
      <c r="O279" s="5" t="n">
        <f aca="false">M279-N279</f>
        <v>4</v>
      </c>
      <c r="P279" s="8" t="n">
        <f aca="false">IFERROR(I279/G279,0)</f>
        <v>0.952380952380952</v>
      </c>
      <c r="Q279" s="8" t="n">
        <f aca="false">IFERROR(M279/L279,0)</f>
        <v>0.654</v>
      </c>
      <c r="R279" s="8" t="n">
        <f aca="false">IFERROR(N279/M279,0)</f>
        <v>0.987767584097859</v>
      </c>
      <c r="S279" s="8" t="n">
        <f aca="false">P279*Q279*R279</f>
        <v>0.615238095238095</v>
      </c>
    </row>
    <row r="280" customFormat="false" ht="15" hidden="false" customHeight="false" outlineLevel="0" collapsed="false">
      <c r="A280" s="4" t="n">
        <v>46133</v>
      </c>
      <c r="B280" s="5" t="n">
        <f aca="false">MONTH($A280)</f>
        <v>4</v>
      </c>
      <c r="C280" s="5" t="n">
        <v>2</v>
      </c>
      <c r="D280" s="6" t="str">
        <f aca="false">INDEX(Parametros!$B$16:$B$18,MATCH($C280,Parametros!$A$16:$A$18,0))</f>
        <v>E2 - Llenado y tapado</v>
      </c>
      <c r="E280" s="7" t="n">
        <f aca="false">IF(WEEKDAY($A280,2)&lt;6,Parametros!$B$21,Parametros!$B$22)</f>
        <v>6</v>
      </c>
      <c r="F280" s="7" t="n">
        <v>0.75</v>
      </c>
      <c r="G280" s="7" t="n">
        <f aca="false">E280-F280</f>
        <v>5.25</v>
      </c>
      <c r="H280" s="7" t="n">
        <v>1</v>
      </c>
      <c r="I280" s="7" t="n">
        <f aca="false">G280-H280</f>
        <v>4.25</v>
      </c>
      <c r="J280" s="6" t="s">
        <v>23</v>
      </c>
      <c r="K280" s="5" t="n">
        <f aca="false">INDEX(Parametros!$C$16:$C$18,MATCH($C280,Parametros!$A$16:$A$18,0))</f>
        <v>95</v>
      </c>
      <c r="L280" s="5" t="n">
        <f aca="false">I280*K280</f>
        <v>403.75</v>
      </c>
      <c r="M280" s="5" t="n">
        <v>323</v>
      </c>
      <c r="N280" s="5" t="n">
        <v>317</v>
      </c>
      <c r="O280" s="5" t="n">
        <f aca="false">M280-N280</f>
        <v>6</v>
      </c>
      <c r="P280" s="8" t="n">
        <f aca="false">IFERROR(I280/G280,0)</f>
        <v>0.80952380952381</v>
      </c>
      <c r="Q280" s="8" t="n">
        <f aca="false">IFERROR(M280/L280,0)</f>
        <v>0.8</v>
      </c>
      <c r="R280" s="8" t="n">
        <f aca="false">IFERROR(N280/M280,0)</f>
        <v>0.981424148606811</v>
      </c>
      <c r="S280" s="8" t="n">
        <f aca="false">P280*Q280*R280</f>
        <v>0.635588972431078</v>
      </c>
    </row>
    <row r="281" customFormat="false" ht="15" hidden="false" customHeight="false" outlineLevel="0" collapsed="false">
      <c r="A281" s="4" t="n">
        <v>46133</v>
      </c>
      <c r="B281" s="5" t="n">
        <f aca="false">MONTH($A281)</f>
        <v>4</v>
      </c>
      <c r="C281" s="5" t="n">
        <v>3</v>
      </c>
      <c r="D281" s="6" t="str">
        <f aca="false">INDEX(Parametros!$B$16:$B$18,MATCH($C281,Parametros!$A$16:$A$18,0))</f>
        <v>E3 - Sellado y etiquetado</v>
      </c>
      <c r="E281" s="7" t="n">
        <f aca="false">IF(WEEKDAY($A281,2)&lt;6,Parametros!$B$21,Parametros!$B$22)</f>
        <v>6</v>
      </c>
      <c r="F281" s="7" t="n">
        <v>0.5</v>
      </c>
      <c r="G281" s="7" t="n">
        <f aca="false">E281-F281</f>
        <v>5.5</v>
      </c>
      <c r="H281" s="7" t="n">
        <v>0</v>
      </c>
      <c r="I281" s="7" t="n">
        <f aca="false">G281-H281</f>
        <v>5.5</v>
      </c>
      <c r="J281" s="6" t="s">
        <v>27</v>
      </c>
      <c r="K281" s="5" t="n">
        <f aca="false">INDEX(Parametros!$C$16:$C$18,MATCH($C281,Parametros!$A$16:$A$18,0))</f>
        <v>95</v>
      </c>
      <c r="L281" s="5" t="n">
        <f aca="false">I281*K281</f>
        <v>522.5</v>
      </c>
      <c r="M281" s="5" t="n">
        <v>317</v>
      </c>
      <c r="N281" s="5" t="n">
        <v>313</v>
      </c>
      <c r="O281" s="5" t="n">
        <f aca="false">M281-N281</f>
        <v>4</v>
      </c>
      <c r="P281" s="8" t="n">
        <f aca="false">IFERROR(I281/G281,0)</f>
        <v>1</v>
      </c>
      <c r="Q281" s="8" t="n">
        <f aca="false">IFERROR(M281/L281,0)</f>
        <v>0.606698564593301</v>
      </c>
      <c r="R281" s="8" t="n">
        <f aca="false">IFERROR(N281/M281,0)</f>
        <v>0.987381703470032</v>
      </c>
      <c r="S281" s="8" t="n">
        <f aca="false">P281*Q281*R281</f>
        <v>0.599043062200957</v>
      </c>
    </row>
    <row r="282" customFormat="false" ht="15" hidden="false" customHeight="false" outlineLevel="0" collapsed="false">
      <c r="A282" s="4" t="n">
        <v>46134</v>
      </c>
      <c r="B282" s="5" t="n">
        <f aca="false">MONTH($A282)</f>
        <v>4</v>
      </c>
      <c r="C282" s="5" t="n">
        <v>1</v>
      </c>
      <c r="D282" s="6" t="str">
        <f aca="false">INDEX(Parametros!$B$16:$B$18,MATCH($C282,Parametros!$A$16:$A$18,0))</f>
        <v>E1 - Lavado y sanitizado de bidones</v>
      </c>
      <c r="E282" s="7" t="n">
        <f aca="false">IF(WEEKDAY($A282,2)&lt;6,Parametros!$B$21,Parametros!$B$22)</f>
        <v>6</v>
      </c>
      <c r="F282" s="7" t="n">
        <v>0.5</v>
      </c>
      <c r="G282" s="7" t="n">
        <f aca="false">E282-F282</f>
        <v>5.5</v>
      </c>
      <c r="H282" s="7" t="n">
        <v>0</v>
      </c>
      <c r="I282" s="7" t="n">
        <f aca="false">G282-H282</f>
        <v>5.5</v>
      </c>
      <c r="J282" s="6" t="s">
        <v>27</v>
      </c>
      <c r="K282" s="5" t="n">
        <f aca="false">INDEX(Parametros!$C$16:$C$18,MATCH($C282,Parametros!$A$16:$A$18,0))</f>
        <v>100</v>
      </c>
      <c r="L282" s="5" t="n">
        <f aca="false">I282*K282</f>
        <v>550</v>
      </c>
      <c r="M282" s="5" t="n">
        <v>307</v>
      </c>
      <c r="N282" s="5" t="n">
        <v>305</v>
      </c>
      <c r="O282" s="5" t="n">
        <f aca="false">M282-N282</f>
        <v>2</v>
      </c>
      <c r="P282" s="8" t="n">
        <f aca="false">IFERROR(I282/G282,0)</f>
        <v>1</v>
      </c>
      <c r="Q282" s="8" t="n">
        <f aca="false">IFERROR(M282/L282,0)</f>
        <v>0.558181818181818</v>
      </c>
      <c r="R282" s="8" t="n">
        <f aca="false">IFERROR(N282/M282,0)</f>
        <v>0.993485342019544</v>
      </c>
      <c r="S282" s="8" t="n">
        <f aca="false">P282*Q282*R282</f>
        <v>0.554545454545455</v>
      </c>
    </row>
    <row r="283" customFormat="false" ht="15" hidden="false" customHeight="false" outlineLevel="0" collapsed="false">
      <c r="A283" s="4" t="n">
        <v>46134</v>
      </c>
      <c r="B283" s="5" t="n">
        <f aca="false">MONTH($A283)</f>
        <v>4</v>
      </c>
      <c r="C283" s="5" t="n">
        <v>2</v>
      </c>
      <c r="D283" s="6" t="str">
        <f aca="false">INDEX(Parametros!$B$16:$B$18,MATCH($C283,Parametros!$A$16:$A$18,0))</f>
        <v>E2 - Llenado y tapado</v>
      </c>
      <c r="E283" s="7" t="n">
        <f aca="false">IF(WEEKDAY($A283,2)&lt;6,Parametros!$B$21,Parametros!$B$22)</f>
        <v>6</v>
      </c>
      <c r="F283" s="7" t="n">
        <v>0.75</v>
      </c>
      <c r="G283" s="7" t="n">
        <f aca="false">E283-F283</f>
        <v>5.25</v>
      </c>
      <c r="H283" s="7" t="n">
        <v>0.5</v>
      </c>
      <c r="I283" s="7" t="n">
        <f aca="false">G283-H283</f>
        <v>4.75</v>
      </c>
      <c r="J283" s="6" t="s">
        <v>28</v>
      </c>
      <c r="K283" s="5" t="n">
        <f aca="false">INDEX(Parametros!$C$16:$C$18,MATCH($C283,Parametros!$A$16:$A$18,0))</f>
        <v>95</v>
      </c>
      <c r="L283" s="5" t="n">
        <f aca="false">I283*K283</f>
        <v>451.25</v>
      </c>
      <c r="M283" s="5" t="n">
        <v>305</v>
      </c>
      <c r="N283" s="5" t="n">
        <v>301</v>
      </c>
      <c r="O283" s="5" t="n">
        <f aca="false">M283-N283</f>
        <v>4</v>
      </c>
      <c r="P283" s="8" t="n">
        <f aca="false">IFERROR(I283/G283,0)</f>
        <v>0.904761904761905</v>
      </c>
      <c r="Q283" s="8" t="n">
        <f aca="false">IFERROR(M283/L283,0)</f>
        <v>0.67590027700831</v>
      </c>
      <c r="R283" s="8" t="n">
        <f aca="false">IFERROR(N283/M283,0)</f>
        <v>0.986885245901639</v>
      </c>
      <c r="S283" s="8" t="n">
        <f aca="false">P283*Q283*R283</f>
        <v>0.603508771929825</v>
      </c>
    </row>
    <row r="284" customFormat="false" ht="15" hidden="false" customHeight="false" outlineLevel="0" collapsed="false">
      <c r="A284" s="4" t="n">
        <v>46134</v>
      </c>
      <c r="B284" s="5" t="n">
        <f aca="false">MONTH($A284)</f>
        <v>4</v>
      </c>
      <c r="C284" s="5" t="n">
        <v>3</v>
      </c>
      <c r="D284" s="6" t="str">
        <f aca="false">INDEX(Parametros!$B$16:$B$18,MATCH($C284,Parametros!$A$16:$A$18,0))</f>
        <v>E3 - Sellado y etiquetado</v>
      </c>
      <c r="E284" s="7" t="n">
        <f aca="false">IF(WEEKDAY($A284,2)&lt;6,Parametros!$B$21,Parametros!$B$22)</f>
        <v>6</v>
      </c>
      <c r="F284" s="7" t="n">
        <v>0.25</v>
      </c>
      <c r="G284" s="7" t="n">
        <f aca="false">E284-F284</f>
        <v>5.75</v>
      </c>
      <c r="H284" s="7" t="n">
        <v>0</v>
      </c>
      <c r="I284" s="7" t="n">
        <f aca="false">G284-H284</f>
        <v>5.75</v>
      </c>
      <c r="J284" s="6" t="s">
        <v>27</v>
      </c>
      <c r="K284" s="5" t="n">
        <f aca="false">INDEX(Parametros!$C$16:$C$18,MATCH($C284,Parametros!$A$16:$A$18,0))</f>
        <v>95</v>
      </c>
      <c r="L284" s="5" t="n">
        <f aca="false">I284*K284</f>
        <v>546.25</v>
      </c>
      <c r="M284" s="5" t="n">
        <v>301</v>
      </c>
      <c r="N284" s="5" t="n">
        <v>299</v>
      </c>
      <c r="O284" s="5" t="n">
        <f aca="false">M284-N284</f>
        <v>2</v>
      </c>
      <c r="P284" s="8" t="n">
        <f aca="false">IFERROR(I284/G284,0)</f>
        <v>1</v>
      </c>
      <c r="Q284" s="8" t="n">
        <f aca="false">IFERROR(M284/L284,0)</f>
        <v>0.551029748283753</v>
      </c>
      <c r="R284" s="8" t="n">
        <f aca="false">IFERROR(N284/M284,0)</f>
        <v>0.993355481727575</v>
      </c>
      <c r="S284" s="8" t="n">
        <f aca="false">P284*Q284*R284</f>
        <v>0.547368421052632</v>
      </c>
    </row>
    <row r="285" customFormat="false" ht="15" hidden="false" customHeight="false" outlineLevel="0" collapsed="false">
      <c r="A285" s="4" t="n">
        <v>46135</v>
      </c>
      <c r="B285" s="5" t="n">
        <f aca="false">MONTH($A285)</f>
        <v>4</v>
      </c>
      <c r="C285" s="5" t="n">
        <v>1</v>
      </c>
      <c r="D285" s="6" t="str">
        <f aca="false">INDEX(Parametros!$B$16:$B$18,MATCH($C285,Parametros!$A$16:$A$18,0))</f>
        <v>E1 - Lavado y sanitizado de bidones</v>
      </c>
      <c r="E285" s="7" t="n">
        <f aca="false">IF(WEEKDAY($A285,2)&lt;6,Parametros!$B$21,Parametros!$B$22)</f>
        <v>6</v>
      </c>
      <c r="F285" s="7" t="n">
        <v>0.5</v>
      </c>
      <c r="G285" s="7" t="n">
        <f aca="false">E285-F285</f>
        <v>5.5</v>
      </c>
      <c r="H285" s="7" t="n">
        <v>0</v>
      </c>
      <c r="I285" s="7" t="n">
        <f aca="false">G285-H285</f>
        <v>5.5</v>
      </c>
      <c r="J285" s="6" t="s">
        <v>27</v>
      </c>
      <c r="K285" s="5" t="n">
        <f aca="false">INDEX(Parametros!$C$16:$C$18,MATCH($C285,Parametros!$A$16:$A$18,0))</f>
        <v>100</v>
      </c>
      <c r="L285" s="5" t="n">
        <f aca="false">I285*K285</f>
        <v>550</v>
      </c>
      <c r="M285" s="5" t="n">
        <v>358</v>
      </c>
      <c r="N285" s="5" t="n">
        <v>353</v>
      </c>
      <c r="O285" s="5" t="n">
        <f aca="false">M285-N285</f>
        <v>5</v>
      </c>
      <c r="P285" s="8" t="n">
        <f aca="false">IFERROR(I285/G285,0)</f>
        <v>1</v>
      </c>
      <c r="Q285" s="8" t="n">
        <f aca="false">IFERROR(M285/L285,0)</f>
        <v>0.650909090909091</v>
      </c>
      <c r="R285" s="8" t="n">
        <f aca="false">IFERROR(N285/M285,0)</f>
        <v>0.986033519553073</v>
      </c>
      <c r="S285" s="8" t="n">
        <f aca="false">P285*Q285*R285</f>
        <v>0.641818181818182</v>
      </c>
    </row>
    <row r="286" customFormat="false" ht="15" hidden="false" customHeight="false" outlineLevel="0" collapsed="false">
      <c r="A286" s="4" t="n">
        <v>46135</v>
      </c>
      <c r="B286" s="5" t="n">
        <f aca="false">MONTH($A286)</f>
        <v>4</v>
      </c>
      <c r="C286" s="5" t="n">
        <v>2</v>
      </c>
      <c r="D286" s="6" t="str">
        <f aca="false">INDEX(Parametros!$B$16:$B$18,MATCH($C286,Parametros!$A$16:$A$18,0))</f>
        <v>E2 - Llenado y tapado</v>
      </c>
      <c r="E286" s="7" t="n">
        <f aca="false">IF(WEEKDAY($A286,2)&lt;6,Parametros!$B$21,Parametros!$B$22)</f>
        <v>6</v>
      </c>
      <c r="F286" s="7" t="n">
        <v>0.75</v>
      </c>
      <c r="G286" s="7" t="n">
        <f aca="false">E286-F286</f>
        <v>5.25</v>
      </c>
      <c r="H286" s="7" t="n">
        <v>0.25</v>
      </c>
      <c r="I286" s="7" t="n">
        <f aca="false">G286-H286</f>
        <v>5</v>
      </c>
      <c r="J286" s="6" t="s">
        <v>28</v>
      </c>
      <c r="K286" s="5" t="n">
        <f aca="false">INDEX(Parametros!$C$16:$C$18,MATCH($C286,Parametros!$A$16:$A$18,0))</f>
        <v>95</v>
      </c>
      <c r="L286" s="5" t="n">
        <f aca="false">I286*K286</f>
        <v>475</v>
      </c>
      <c r="M286" s="5" t="n">
        <v>353</v>
      </c>
      <c r="N286" s="5" t="n">
        <v>346</v>
      </c>
      <c r="O286" s="5" t="n">
        <f aca="false">M286-N286</f>
        <v>7</v>
      </c>
      <c r="P286" s="8" t="n">
        <f aca="false">IFERROR(I286/G286,0)</f>
        <v>0.952380952380952</v>
      </c>
      <c r="Q286" s="8" t="n">
        <f aca="false">IFERROR(M286/L286,0)</f>
        <v>0.743157894736842</v>
      </c>
      <c r="R286" s="8" t="n">
        <f aca="false">IFERROR(N286/M286,0)</f>
        <v>0.980169971671388</v>
      </c>
      <c r="S286" s="8" t="n">
        <f aca="false">P286*Q286*R286</f>
        <v>0.693734335839599</v>
      </c>
    </row>
    <row r="287" customFormat="false" ht="15" hidden="false" customHeight="false" outlineLevel="0" collapsed="false">
      <c r="A287" s="4" t="n">
        <v>46135</v>
      </c>
      <c r="B287" s="5" t="n">
        <f aca="false">MONTH($A287)</f>
        <v>4</v>
      </c>
      <c r="C287" s="5" t="n">
        <v>3</v>
      </c>
      <c r="D287" s="6" t="str">
        <f aca="false">INDEX(Parametros!$B$16:$B$18,MATCH($C287,Parametros!$A$16:$A$18,0))</f>
        <v>E3 - Sellado y etiquetado</v>
      </c>
      <c r="E287" s="7" t="n">
        <f aca="false">IF(WEEKDAY($A287,2)&lt;6,Parametros!$B$21,Parametros!$B$22)</f>
        <v>6</v>
      </c>
      <c r="F287" s="7" t="n">
        <v>0.25</v>
      </c>
      <c r="G287" s="7" t="n">
        <f aca="false">E287-F287</f>
        <v>5.75</v>
      </c>
      <c r="H287" s="7" t="n">
        <v>0</v>
      </c>
      <c r="I287" s="7" t="n">
        <f aca="false">G287-H287</f>
        <v>5.75</v>
      </c>
      <c r="J287" s="6" t="s">
        <v>27</v>
      </c>
      <c r="K287" s="5" t="n">
        <f aca="false">INDEX(Parametros!$C$16:$C$18,MATCH($C287,Parametros!$A$16:$A$18,0))</f>
        <v>95</v>
      </c>
      <c r="L287" s="5" t="n">
        <f aca="false">I287*K287</f>
        <v>546.25</v>
      </c>
      <c r="M287" s="5" t="n">
        <v>346</v>
      </c>
      <c r="N287" s="5" t="n">
        <v>341</v>
      </c>
      <c r="O287" s="5" t="n">
        <f aca="false">M287-N287</f>
        <v>5</v>
      </c>
      <c r="P287" s="8" t="n">
        <f aca="false">IFERROR(I287/G287,0)</f>
        <v>1</v>
      </c>
      <c r="Q287" s="8" t="n">
        <f aca="false">IFERROR(M287/L287,0)</f>
        <v>0.633409610983982</v>
      </c>
      <c r="R287" s="8" t="n">
        <f aca="false">IFERROR(N287/M287,0)</f>
        <v>0.985549132947977</v>
      </c>
      <c r="S287" s="8" t="n">
        <f aca="false">P287*Q287*R287</f>
        <v>0.624256292906179</v>
      </c>
    </row>
    <row r="288" customFormat="false" ht="15" hidden="false" customHeight="false" outlineLevel="0" collapsed="false">
      <c r="A288" s="4" t="n">
        <v>46136</v>
      </c>
      <c r="B288" s="5" t="n">
        <f aca="false">MONTH($A288)</f>
        <v>4</v>
      </c>
      <c r="C288" s="5" t="n">
        <v>1</v>
      </c>
      <c r="D288" s="6" t="str">
        <f aca="false">INDEX(Parametros!$B$16:$B$18,MATCH($C288,Parametros!$A$16:$A$18,0))</f>
        <v>E1 - Lavado y sanitizado de bidones</v>
      </c>
      <c r="E288" s="7" t="n">
        <f aca="false">IF(WEEKDAY($A288,2)&lt;6,Parametros!$B$21,Parametros!$B$22)</f>
        <v>6</v>
      </c>
      <c r="F288" s="7" t="n">
        <v>0.5</v>
      </c>
      <c r="G288" s="7" t="n">
        <f aca="false">E288-F288</f>
        <v>5.5</v>
      </c>
      <c r="H288" s="7" t="n">
        <v>0</v>
      </c>
      <c r="I288" s="7" t="n">
        <f aca="false">G288-H288</f>
        <v>5.5</v>
      </c>
      <c r="J288" s="6" t="s">
        <v>27</v>
      </c>
      <c r="K288" s="5" t="n">
        <f aca="false">INDEX(Parametros!$C$16:$C$18,MATCH($C288,Parametros!$A$16:$A$18,0))</f>
        <v>100</v>
      </c>
      <c r="L288" s="5" t="n">
        <f aca="false">I288*K288</f>
        <v>550</v>
      </c>
      <c r="M288" s="5" t="n">
        <v>287</v>
      </c>
      <c r="N288" s="5" t="n">
        <v>285</v>
      </c>
      <c r="O288" s="5" t="n">
        <f aca="false">M288-N288</f>
        <v>2</v>
      </c>
      <c r="P288" s="8" t="n">
        <f aca="false">IFERROR(I288/G288,0)</f>
        <v>1</v>
      </c>
      <c r="Q288" s="8" t="n">
        <f aca="false">IFERROR(M288/L288,0)</f>
        <v>0.521818181818182</v>
      </c>
      <c r="R288" s="8" t="n">
        <f aca="false">IFERROR(N288/M288,0)</f>
        <v>0.993031358885017</v>
      </c>
      <c r="S288" s="8" t="n">
        <f aca="false">P288*Q288*R288</f>
        <v>0.518181818181818</v>
      </c>
    </row>
    <row r="289" customFormat="false" ht="15" hidden="false" customHeight="false" outlineLevel="0" collapsed="false">
      <c r="A289" s="4" t="n">
        <v>46136</v>
      </c>
      <c r="B289" s="5" t="n">
        <f aca="false">MONTH($A289)</f>
        <v>4</v>
      </c>
      <c r="C289" s="5" t="n">
        <v>2</v>
      </c>
      <c r="D289" s="6" t="str">
        <f aca="false">INDEX(Parametros!$B$16:$B$18,MATCH($C289,Parametros!$A$16:$A$18,0))</f>
        <v>E2 - Llenado y tapado</v>
      </c>
      <c r="E289" s="7" t="n">
        <f aca="false">IF(WEEKDAY($A289,2)&lt;6,Parametros!$B$21,Parametros!$B$22)</f>
        <v>6</v>
      </c>
      <c r="F289" s="7" t="n">
        <v>0.75</v>
      </c>
      <c r="G289" s="7" t="n">
        <f aca="false">E289-F289</f>
        <v>5.25</v>
      </c>
      <c r="H289" s="7" t="n">
        <v>1.25</v>
      </c>
      <c r="I289" s="7" t="n">
        <f aca="false">G289-H289</f>
        <v>4</v>
      </c>
      <c r="J289" s="6" t="s">
        <v>26</v>
      </c>
      <c r="K289" s="5" t="n">
        <f aca="false">INDEX(Parametros!$C$16:$C$18,MATCH($C289,Parametros!$A$16:$A$18,0))</f>
        <v>95</v>
      </c>
      <c r="L289" s="5" t="n">
        <f aca="false">I289*K289</f>
        <v>380</v>
      </c>
      <c r="M289" s="5" t="n">
        <v>285</v>
      </c>
      <c r="N289" s="5" t="n">
        <v>279</v>
      </c>
      <c r="O289" s="5" t="n">
        <f aca="false">M289-N289</f>
        <v>6</v>
      </c>
      <c r="P289" s="8" t="n">
        <f aca="false">IFERROR(I289/G289,0)</f>
        <v>0.761904761904762</v>
      </c>
      <c r="Q289" s="8" t="n">
        <f aca="false">IFERROR(M289/L289,0)</f>
        <v>0.75</v>
      </c>
      <c r="R289" s="8" t="n">
        <f aca="false">IFERROR(N289/M289,0)</f>
        <v>0.978947368421053</v>
      </c>
      <c r="S289" s="8" t="n">
        <f aca="false">P289*Q289*R289</f>
        <v>0.559398496240602</v>
      </c>
    </row>
    <row r="290" customFormat="false" ht="15" hidden="false" customHeight="false" outlineLevel="0" collapsed="false">
      <c r="A290" s="4" t="n">
        <v>46136</v>
      </c>
      <c r="B290" s="5" t="n">
        <f aca="false">MONTH($A290)</f>
        <v>4</v>
      </c>
      <c r="C290" s="5" t="n">
        <v>3</v>
      </c>
      <c r="D290" s="6" t="str">
        <f aca="false">INDEX(Parametros!$B$16:$B$18,MATCH($C290,Parametros!$A$16:$A$18,0))</f>
        <v>E3 - Sellado y etiquetado</v>
      </c>
      <c r="E290" s="7" t="n">
        <f aca="false">IF(WEEKDAY($A290,2)&lt;6,Parametros!$B$21,Parametros!$B$22)</f>
        <v>6</v>
      </c>
      <c r="F290" s="7" t="n">
        <v>0.25</v>
      </c>
      <c r="G290" s="7" t="n">
        <f aca="false">E290-F290</f>
        <v>5.75</v>
      </c>
      <c r="H290" s="7" t="n">
        <v>0.25</v>
      </c>
      <c r="I290" s="7" t="n">
        <f aca="false">G290-H290</f>
        <v>5.5</v>
      </c>
      <c r="J290" s="6" t="s">
        <v>30</v>
      </c>
      <c r="K290" s="5" t="n">
        <f aca="false">INDEX(Parametros!$C$16:$C$18,MATCH($C290,Parametros!$A$16:$A$18,0))</f>
        <v>95</v>
      </c>
      <c r="L290" s="5" t="n">
        <f aca="false">I290*K290</f>
        <v>522.5</v>
      </c>
      <c r="M290" s="5" t="n">
        <v>279</v>
      </c>
      <c r="N290" s="5" t="n">
        <v>276</v>
      </c>
      <c r="O290" s="5" t="n">
        <f aca="false">M290-N290</f>
        <v>3</v>
      </c>
      <c r="P290" s="8" t="n">
        <f aca="false">IFERROR(I290/G290,0)</f>
        <v>0.956521739130435</v>
      </c>
      <c r="Q290" s="8" t="n">
        <f aca="false">IFERROR(M290/L290,0)</f>
        <v>0.533971291866029</v>
      </c>
      <c r="R290" s="8" t="n">
        <f aca="false">IFERROR(N290/M290,0)</f>
        <v>0.989247311827957</v>
      </c>
      <c r="S290" s="8" t="n">
        <f aca="false">P290*Q290*R290</f>
        <v>0.505263157894737</v>
      </c>
    </row>
    <row r="291" customFormat="false" ht="15" hidden="false" customHeight="false" outlineLevel="0" collapsed="false">
      <c r="A291" s="4" t="n">
        <v>46137</v>
      </c>
      <c r="B291" s="5" t="n">
        <f aca="false">MONTH($A291)</f>
        <v>4</v>
      </c>
      <c r="C291" s="5" t="n">
        <v>1</v>
      </c>
      <c r="D291" s="6" t="str">
        <f aca="false">INDEX(Parametros!$B$16:$B$18,MATCH($C291,Parametros!$A$16:$A$18,0))</f>
        <v>E1 - Lavado y sanitizado de bidones</v>
      </c>
      <c r="E291" s="7" t="n">
        <f aca="false">IF(WEEKDAY($A291,2)&lt;6,Parametros!$B$21,Parametros!$B$22)</f>
        <v>4</v>
      </c>
      <c r="F291" s="7" t="n">
        <v>0.75</v>
      </c>
      <c r="G291" s="7" t="n">
        <f aca="false">E291-F291</f>
        <v>3.25</v>
      </c>
      <c r="H291" s="7" t="n">
        <v>0</v>
      </c>
      <c r="I291" s="7" t="n">
        <f aca="false">G291-H291</f>
        <v>3.25</v>
      </c>
      <c r="J291" s="6" t="s">
        <v>27</v>
      </c>
      <c r="K291" s="5" t="n">
        <f aca="false">INDEX(Parametros!$C$16:$C$18,MATCH($C291,Parametros!$A$16:$A$18,0))</f>
        <v>100</v>
      </c>
      <c r="L291" s="5" t="n">
        <f aca="false">I291*K291</f>
        <v>325</v>
      </c>
      <c r="M291" s="5" t="n">
        <v>197</v>
      </c>
      <c r="N291" s="5" t="n">
        <v>194</v>
      </c>
      <c r="O291" s="5" t="n">
        <f aca="false">M291-N291</f>
        <v>3</v>
      </c>
      <c r="P291" s="8" t="n">
        <f aca="false">IFERROR(I291/G291,0)</f>
        <v>1</v>
      </c>
      <c r="Q291" s="8" t="n">
        <f aca="false">IFERROR(M291/L291,0)</f>
        <v>0.606153846153846</v>
      </c>
      <c r="R291" s="8" t="n">
        <f aca="false">IFERROR(N291/M291,0)</f>
        <v>0.984771573604061</v>
      </c>
      <c r="S291" s="8" t="n">
        <f aca="false">P291*Q291*R291</f>
        <v>0.596923076923077</v>
      </c>
    </row>
    <row r="292" customFormat="false" ht="15" hidden="false" customHeight="false" outlineLevel="0" collapsed="false">
      <c r="A292" s="4" t="n">
        <v>46137</v>
      </c>
      <c r="B292" s="5" t="n">
        <f aca="false">MONTH($A292)</f>
        <v>4</v>
      </c>
      <c r="C292" s="5" t="n">
        <v>2</v>
      </c>
      <c r="D292" s="6" t="str">
        <f aca="false">INDEX(Parametros!$B$16:$B$18,MATCH($C292,Parametros!$A$16:$A$18,0))</f>
        <v>E2 - Llenado y tapado</v>
      </c>
      <c r="E292" s="7" t="n">
        <f aca="false">IF(WEEKDAY($A292,2)&lt;6,Parametros!$B$21,Parametros!$B$22)</f>
        <v>4</v>
      </c>
      <c r="F292" s="7" t="n">
        <v>1</v>
      </c>
      <c r="G292" s="7" t="n">
        <f aca="false">E292-F292</f>
        <v>3</v>
      </c>
      <c r="H292" s="7" t="n">
        <v>0.5</v>
      </c>
      <c r="I292" s="7" t="n">
        <f aca="false">G292-H292</f>
        <v>2.5</v>
      </c>
      <c r="J292" s="6" t="s">
        <v>28</v>
      </c>
      <c r="K292" s="5" t="n">
        <f aca="false">INDEX(Parametros!$C$16:$C$18,MATCH($C292,Parametros!$A$16:$A$18,0))</f>
        <v>95</v>
      </c>
      <c r="L292" s="5" t="n">
        <f aca="false">I292*K292</f>
        <v>237.5</v>
      </c>
      <c r="M292" s="5" t="n">
        <v>194</v>
      </c>
      <c r="N292" s="5" t="n">
        <v>191</v>
      </c>
      <c r="O292" s="5" t="n">
        <f aca="false">M292-N292</f>
        <v>3</v>
      </c>
      <c r="P292" s="8" t="n">
        <f aca="false">IFERROR(I292/G292,0)</f>
        <v>0.833333333333333</v>
      </c>
      <c r="Q292" s="8" t="n">
        <f aca="false">IFERROR(M292/L292,0)</f>
        <v>0.816842105263158</v>
      </c>
      <c r="R292" s="8" t="n">
        <f aca="false">IFERROR(N292/M292,0)</f>
        <v>0.984536082474227</v>
      </c>
      <c r="S292" s="8" t="n">
        <f aca="false">P292*Q292*R292</f>
        <v>0.670175438596491</v>
      </c>
    </row>
    <row r="293" customFormat="false" ht="15" hidden="false" customHeight="false" outlineLevel="0" collapsed="false">
      <c r="A293" s="4" t="n">
        <v>46137</v>
      </c>
      <c r="B293" s="5" t="n">
        <f aca="false">MONTH($A293)</f>
        <v>4</v>
      </c>
      <c r="C293" s="5" t="n">
        <v>3</v>
      </c>
      <c r="D293" s="6" t="str">
        <f aca="false">INDEX(Parametros!$B$16:$B$18,MATCH($C293,Parametros!$A$16:$A$18,0))</f>
        <v>E3 - Sellado y etiquetado</v>
      </c>
      <c r="E293" s="7" t="n">
        <f aca="false">IF(WEEKDAY($A293,2)&lt;6,Parametros!$B$21,Parametros!$B$22)</f>
        <v>4</v>
      </c>
      <c r="F293" s="7" t="n">
        <v>0.5</v>
      </c>
      <c r="G293" s="7" t="n">
        <f aca="false">E293-F293</f>
        <v>3.5</v>
      </c>
      <c r="H293" s="7" t="n">
        <v>0.5</v>
      </c>
      <c r="I293" s="7" t="n">
        <f aca="false">G293-H293</f>
        <v>3</v>
      </c>
      <c r="J293" s="6" t="s">
        <v>25</v>
      </c>
      <c r="K293" s="5" t="n">
        <f aca="false">INDEX(Parametros!$C$16:$C$18,MATCH($C293,Parametros!$A$16:$A$18,0))</f>
        <v>95</v>
      </c>
      <c r="L293" s="5" t="n">
        <f aca="false">I293*K293</f>
        <v>285</v>
      </c>
      <c r="M293" s="5" t="n">
        <v>191</v>
      </c>
      <c r="N293" s="5" t="n">
        <v>189</v>
      </c>
      <c r="O293" s="5" t="n">
        <f aca="false">M293-N293</f>
        <v>2</v>
      </c>
      <c r="P293" s="8" t="n">
        <f aca="false">IFERROR(I293/G293,0)</f>
        <v>0.857142857142857</v>
      </c>
      <c r="Q293" s="8" t="n">
        <f aca="false">IFERROR(M293/L293,0)</f>
        <v>0.670175438596491</v>
      </c>
      <c r="R293" s="8" t="n">
        <f aca="false">IFERROR(N293/M293,0)</f>
        <v>0.989528795811518</v>
      </c>
      <c r="S293" s="8" t="n">
        <f aca="false">P293*Q293*R293</f>
        <v>0.568421052631579</v>
      </c>
    </row>
    <row r="294" customFormat="false" ht="15" hidden="false" customHeight="false" outlineLevel="0" collapsed="false">
      <c r="A294" s="4" t="n">
        <v>46139</v>
      </c>
      <c r="B294" s="5" t="n">
        <f aca="false">MONTH($A294)</f>
        <v>4</v>
      </c>
      <c r="C294" s="5" t="n">
        <v>1</v>
      </c>
      <c r="D294" s="6" t="str">
        <f aca="false">INDEX(Parametros!$B$16:$B$18,MATCH($C294,Parametros!$A$16:$A$18,0))</f>
        <v>E1 - Lavado y sanitizado de bidones</v>
      </c>
      <c r="E294" s="7" t="n">
        <f aca="false">IF(WEEKDAY($A294,2)&lt;6,Parametros!$B$21,Parametros!$B$22)</f>
        <v>6</v>
      </c>
      <c r="F294" s="7" t="n">
        <v>0.75</v>
      </c>
      <c r="G294" s="7" t="n">
        <f aca="false">E294-F294</f>
        <v>5.25</v>
      </c>
      <c r="H294" s="7" t="n">
        <v>0</v>
      </c>
      <c r="I294" s="7" t="n">
        <f aca="false">G294-H294</f>
        <v>5.25</v>
      </c>
      <c r="J294" s="6" t="s">
        <v>27</v>
      </c>
      <c r="K294" s="5" t="n">
        <f aca="false">INDEX(Parametros!$C$16:$C$18,MATCH($C294,Parametros!$A$16:$A$18,0))</f>
        <v>100</v>
      </c>
      <c r="L294" s="5" t="n">
        <f aca="false">I294*K294</f>
        <v>525</v>
      </c>
      <c r="M294" s="5" t="n">
        <v>308</v>
      </c>
      <c r="N294" s="5" t="n">
        <v>302</v>
      </c>
      <c r="O294" s="5" t="n">
        <f aca="false">M294-N294</f>
        <v>6</v>
      </c>
      <c r="P294" s="8" t="n">
        <f aca="false">IFERROR(I294/G294,0)</f>
        <v>1</v>
      </c>
      <c r="Q294" s="8" t="n">
        <f aca="false">IFERROR(M294/L294,0)</f>
        <v>0.586666666666667</v>
      </c>
      <c r="R294" s="8" t="n">
        <f aca="false">IFERROR(N294/M294,0)</f>
        <v>0.980519480519481</v>
      </c>
      <c r="S294" s="8" t="n">
        <f aca="false">P294*Q294*R294</f>
        <v>0.575238095238095</v>
      </c>
    </row>
    <row r="295" customFormat="false" ht="15" hidden="false" customHeight="false" outlineLevel="0" collapsed="false">
      <c r="A295" s="4" t="n">
        <v>46139</v>
      </c>
      <c r="B295" s="5" t="n">
        <f aca="false">MONTH($A295)</f>
        <v>4</v>
      </c>
      <c r="C295" s="5" t="n">
        <v>2</v>
      </c>
      <c r="D295" s="6" t="str">
        <f aca="false">INDEX(Parametros!$B$16:$B$18,MATCH($C295,Parametros!$A$16:$A$18,0))</f>
        <v>E2 - Llenado y tapado</v>
      </c>
      <c r="E295" s="7" t="n">
        <f aca="false">IF(WEEKDAY($A295,2)&lt;6,Parametros!$B$21,Parametros!$B$22)</f>
        <v>6</v>
      </c>
      <c r="F295" s="7" t="n">
        <v>0.75</v>
      </c>
      <c r="G295" s="7" t="n">
        <f aca="false">E295-F295</f>
        <v>5.25</v>
      </c>
      <c r="H295" s="7" t="n">
        <v>0.5</v>
      </c>
      <c r="I295" s="7" t="n">
        <f aca="false">G295-H295</f>
        <v>4.75</v>
      </c>
      <c r="J295" s="6" t="s">
        <v>28</v>
      </c>
      <c r="K295" s="5" t="n">
        <f aca="false">INDEX(Parametros!$C$16:$C$18,MATCH($C295,Parametros!$A$16:$A$18,0))</f>
        <v>95</v>
      </c>
      <c r="L295" s="5" t="n">
        <f aca="false">I295*K295</f>
        <v>451.25</v>
      </c>
      <c r="M295" s="5" t="n">
        <v>302</v>
      </c>
      <c r="N295" s="5" t="n">
        <v>296</v>
      </c>
      <c r="O295" s="5" t="n">
        <f aca="false">M295-N295</f>
        <v>6</v>
      </c>
      <c r="P295" s="8" t="n">
        <f aca="false">IFERROR(I295/G295,0)</f>
        <v>0.904761904761905</v>
      </c>
      <c r="Q295" s="8" t="n">
        <f aca="false">IFERROR(M295/L295,0)</f>
        <v>0.669252077562327</v>
      </c>
      <c r="R295" s="8" t="n">
        <f aca="false">IFERROR(N295/M295,0)</f>
        <v>0.980132450331126</v>
      </c>
      <c r="S295" s="8" t="n">
        <f aca="false">P295*Q295*R295</f>
        <v>0.593483709273183</v>
      </c>
    </row>
    <row r="296" customFormat="false" ht="15" hidden="false" customHeight="false" outlineLevel="0" collapsed="false">
      <c r="A296" s="4" t="n">
        <v>46139</v>
      </c>
      <c r="B296" s="5" t="n">
        <f aca="false">MONTH($A296)</f>
        <v>4</v>
      </c>
      <c r="C296" s="5" t="n">
        <v>3</v>
      </c>
      <c r="D296" s="6" t="str">
        <f aca="false">INDEX(Parametros!$B$16:$B$18,MATCH($C296,Parametros!$A$16:$A$18,0))</f>
        <v>E3 - Sellado y etiquetado</v>
      </c>
      <c r="E296" s="7" t="n">
        <f aca="false">IF(WEEKDAY($A296,2)&lt;6,Parametros!$B$21,Parametros!$B$22)</f>
        <v>6</v>
      </c>
      <c r="F296" s="7" t="n">
        <v>0.25</v>
      </c>
      <c r="G296" s="7" t="n">
        <f aca="false">E296-F296</f>
        <v>5.75</v>
      </c>
      <c r="H296" s="7" t="n">
        <v>0.5</v>
      </c>
      <c r="I296" s="7" t="n">
        <f aca="false">G296-H296</f>
        <v>5.25</v>
      </c>
      <c r="J296" s="6" t="s">
        <v>30</v>
      </c>
      <c r="K296" s="5" t="n">
        <f aca="false">INDEX(Parametros!$C$16:$C$18,MATCH($C296,Parametros!$A$16:$A$18,0))</f>
        <v>95</v>
      </c>
      <c r="L296" s="5" t="n">
        <f aca="false">I296*K296</f>
        <v>498.75</v>
      </c>
      <c r="M296" s="5" t="n">
        <v>296</v>
      </c>
      <c r="N296" s="5" t="n">
        <v>294</v>
      </c>
      <c r="O296" s="5" t="n">
        <f aca="false">M296-N296</f>
        <v>2</v>
      </c>
      <c r="P296" s="8" t="n">
        <f aca="false">IFERROR(I296/G296,0)</f>
        <v>0.91304347826087</v>
      </c>
      <c r="Q296" s="8" t="n">
        <f aca="false">IFERROR(M296/L296,0)</f>
        <v>0.593483709273183</v>
      </c>
      <c r="R296" s="8" t="n">
        <f aca="false">IFERROR(N296/M296,0)</f>
        <v>0.993243243243243</v>
      </c>
      <c r="S296" s="8" t="n">
        <f aca="false">P296*Q296*R296</f>
        <v>0.538215102974828</v>
      </c>
    </row>
    <row r="297" customFormat="false" ht="15" hidden="false" customHeight="false" outlineLevel="0" collapsed="false">
      <c r="A297" s="4" t="n">
        <v>46140</v>
      </c>
      <c r="B297" s="5" t="n">
        <f aca="false">MONTH($A297)</f>
        <v>4</v>
      </c>
      <c r="C297" s="5" t="n">
        <v>1</v>
      </c>
      <c r="D297" s="6" t="str">
        <f aca="false">INDEX(Parametros!$B$16:$B$18,MATCH($C297,Parametros!$A$16:$A$18,0))</f>
        <v>E1 - Lavado y sanitizado de bidones</v>
      </c>
      <c r="E297" s="7" t="n">
        <f aca="false">IF(WEEKDAY($A297,2)&lt;6,Parametros!$B$21,Parametros!$B$22)</f>
        <v>6</v>
      </c>
      <c r="F297" s="7" t="n">
        <v>0.5</v>
      </c>
      <c r="G297" s="7" t="n">
        <f aca="false">E297-F297</f>
        <v>5.5</v>
      </c>
      <c r="H297" s="7" t="n">
        <v>0.5</v>
      </c>
      <c r="I297" s="7" t="n">
        <f aca="false">G297-H297</f>
        <v>5</v>
      </c>
      <c r="J297" s="6" t="s">
        <v>26</v>
      </c>
      <c r="K297" s="5" t="n">
        <f aca="false">INDEX(Parametros!$C$16:$C$18,MATCH($C297,Parametros!$A$16:$A$18,0))</f>
        <v>100</v>
      </c>
      <c r="L297" s="5" t="n">
        <f aca="false">I297*K297</f>
        <v>500</v>
      </c>
      <c r="M297" s="5" t="n">
        <v>344</v>
      </c>
      <c r="N297" s="5" t="n">
        <v>339</v>
      </c>
      <c r="O297" s="5" t="n">
        <f aca="false">M297-N297</f>
        <v>5</v>
      </c>
      <c r="P297" s="8" t="n">
        <f aca="false">IFERROR(I297/G297,0)</f>
        <v>0.909090909090909</v>
      </c>
      <c r="Q297" s="8" t="n">
        <f aca="false">IFERROR(M297/L297,0)</f>
        <v>0.688</v>
      </c>
      <c r="R297" s="8" t="n">
        <f aca="false">IFERROR(N297/M297,0)</f>
        <v>0.98546511627907</v>
      </c>
      <c r="S297" s="8" t="n">
        <f aca="false">P297*Q297*R297</f>
        <v>0.616363636363636</v>
      </c>
    </row>
    <row r="298" customFormat="false" ht="15" hidden="false" customHeight="false" outlineLevel="0" collapsed="false">
      <c r="A298" s="4" t="n">
        <v>46140</v>
      </c>
      <c r="B298" s="5" t="n">
        <f aca="false">MONTH($A298)</f>
        <v>4</v>
      </c>
      <c r="C298" s="5" t="n">
        <v>2</v>
      </c>
      <c r="D298" s="6" t="str">
        <f aca="false">INDEX(Parametros!$B$16:$B$18,MATCH($C298,Parametros!$A$16:$A$18,0))</f>
        <v>E2 - Llenado y tapado</v>
      </c>
      <c r="E298" s="7" t="n">
        <f aca="false">IF(WEEKDAY($A298,2)&lt;6,Parametros!$B$21,Parametros!$B$22)</f>
        <v>6</v>
      </c>
      <c r="F298" s="7" t="n">
        <v>0.75</v>
      </c>
      <c r="G298" s="7" t="n">
        <f aca="false">E298-F298</f>
        <v>5.25</v>
      </c>
      <c r="H298" s="7" t="n">
        <v>0.75</v>
      </c>
      <c r="I298" s="7" t="n">
        <f aca="false">G298-H298</f>
        <v>4.5</v>
      </c>
      <c r="J298" s="6" t="s">
        <v>28</v>
      </c>
      <c r="K298" s="5" t="n">
        <f aca="false">INDEX(Parametros!$C$16:$C$18,MATCH($C298,Parametros!$A$16:$A$18,0))</f>
        <v>95</v>
      </c>
      <c r="L298" s="5" t="n">
        <f aca="false">I298*K298</f>
        <v>427.5</v>
      </c>
      <c r="M298" s="5" t="n">
        <v>339</v>
      </c>
      <c r="N298" s="5" t="n">
        <v>334</v>
      </c>
      <c r="O298" s="5" t="n">
        <f aca="false">M298-N298</f>
        <v>5</v>
      </c>
      <c r="P298" s="8" t="n">
        <f aca="false">IFERROR(I298/G298,0)</f>
        <v>0.857142857142857</v>
      </c>
      <c r="Q298" s="8" t="n">
        <f aca="false">IFERROR(M298/L298,0)</f>
        <v>0.792982456140351</v>
      </c>
      <c r="R298" s="8" t="n">
        <f aca="false">IFERROR(N298/M298,0)</f>
        <v>0.985250737463127</v>
      </c>
      <c r="S298" s="8" t="n">
        <f aca="false">P298*Q298*R298</f>
        <v>0.669674185463659</v>
      </c>
    </row>
    <row r="299" customFormat="false" ht="15" hidden="false" customHeight="false" outlineLevel="0" collapsed="false">
      <c r="A299" s="4" t="n">
        <v>46140</v>
      </c>
      <c r="B299" s="5" t="n">
        <f aca="false">MONTH($A299)</f>
        <v>4</v>
      </c>
      <c r="C299" s="5" t="n">
        <v>3</v>
      </c>
      <c r="D299" s="6" t="str">
        <f aca="false">INDEX(Parametros!$B$16:$B$18,MATCH($C299,Parametros!$A$16:$A$18,0))</f>
        <v>E3 - Sellado y etiquetado</v>
      </c>
      <c r="E299" s="7" t="n">
        <f aca="false">IF(WEEKDAY($A299,2)&lt;6,Parametros!$B$21,Parametros!$B$22)</f>
        <v>6</v>
      </c>
      <c r="F299" s="7" t="n">
        <v>0.25</v>
      </c>
      <c r="G299" s="7" t="n">
        <f aca="false">E299-F299</f>
        <v>5.75</v>
      </c>
      <c r="H299" s="7" t="n">
        <v>0</v>
      </c>
      <c r="I299" s="7" t="n">
        <f aca="false">G299-H299</f>
        <v>5.75</v>
      </c>
      <c r="J299" s="6" t="s">
        <v>27</v>
      </c>
      <c r="K299" s="5" t="n">
        <f aca="false">INDEX(Parametros!$C$16:$C$18,MATCH($C299,Parametros!$A$16:$A$18,0))</f>
        <v>95</v>
      </c>
      <c r="L299" s="5" t="n">
        <f aca="false">I299*K299</f>
        <v>546.25</v>
      </c>
      <c r="M299" s="5" t="n">
        <v>334</v>
      </c>
      <c r="N299" s="5" t="n">
        <v>333</v>
      </c>
      <c r="O299" s="5" t="n">
        <f aca="false">M299-N299</f>
        <v>1</v>
      </c>
      <c r="P299" s="8" t="n">
        <f aca="false">IFERROR(I299/G299,0)</f>
        <v>1</v>
      </c>
      <c r="Q299" s="8" t="n">
        <f aca="false">IFERROR(M299/L299,0)</f>
        <v>0.611441647597254</v>
      </c>
      <c r="R299" s="8" t="n">
        <f aca="false">IFERROR(N299/M299,0)</f>
        <v>0.997005988023952</v>
      </c>
      <c r="S299" s="8" t="n">
        <f aca="false">P299*Q299*R299</f>
        <v>0.609610983981693</v>
      </c>
    </row>
    <row r="300" customFormat="false" ht="15" hidden="false" customHeight="false" outlineLevel="0" collapsed="false">
      <c r="A300" s="4" t="n">
        <v>46141</v>
      </c>
      <c r="B300" s="5" t="n">
        <f aca="false">MONTH($A300)</f>
        <v>4</v>
      </c>
      <c r="C300" s="5" t="n">
        <v>1</v>
      </c>
      <c r="D300" s="6" t="str">
        <f aca="false">INDEX(Parametros!$B$16:$B$18,MATCH($C300,Parametros!$A$16:$A$18,0))</f>
        <v>E1 - Lavado y sanitizado de bidones</v>
      </c>
      <c r="E300" s="7" t="n">
        <f aca="false">IF(WEEKDAY($A300,2)&lt;6,Parametros!$B$21,Parametros!$B$22)</f>
        <v>6</v>
      </c>
      <c r="F300" s="7" t="n">
        <v>0.5</v>
      </c>
      <c r="G300" s="7" t="n">
        <f aca="false">E300-F300</f>
        <v>5.5</v>
      </c>
      <c r="H300" s="7" t="n">
        <v>0.5</v>
      </c>
      <c r="I300" s="7" t="n">
        <f aca="false">G300-H300</f>
        <v>5</v>
      </c>
      <c r="J300" s="6" t="s">
        <v>22</v>
      </c>
      <c r="K300" s="5" t="n">
        <f aca="false">INDEX(Parametros!$C$16:$C$18,MATCH($C300,Parametros!$A$16:$A$18,0))</f>
        <v>100</v>
      </c>
      <c r="L300" s="5" t="n">
        <f aca="false">I300*K300</f>
        <v>500</v>
      </c>
      <c r="M300" s="5" t="n">
        <v>329</v>
      </c>
      <c r="N300" s="5" t="n">
        <v>324</v>
      </c>
      <c r="O300" s="5" t="n">
        <f aca="false">M300-N300</f>
        <v>5</v>
      </c>
      <c r="P300" s="8" t="n">
        <f aca="false">IFERROR(I300/G300,0)</f>
        <v>0.909090909090909</v>
      </c>
      <c r="Q300" s="8" t="n">
        <f aca="false">IFERROR(M300/L300,0)</f>
        <v>0.658</v>
      </c>
      <c r="R300" s="8" t="n">
        <f aca="false">IFERROR(N300/M300,0)</f>
        <v>0.984802431610942</v>
      </c>
      <c r="S300" s="8" t="n">
        <f aca="false">P300*Q300*R300</f>
        <v>0.589090909090909</v>
      </c>
    </row>
    <row r="301" customFormat="false" ht="15" hidden="false" customHeight="false" outlineLevel="0" collapsed="false">
      <c r="A301" s="4" t="n">
        <v>46141</v>
      </c>
      <c r="B301" s="5" t="n">
        <f aca="false">MONTH($A301)</f>
        <v>4</v>
      </c>
      <c r="C301" s="5" t="n">
        <v>2</v>
      </c>
      <c r="D301" s="6" t="str">
        <f aca="false">INDEX(Parametros!$B$16:$B$18,MATCH($C301,Parametros!$A$16:$A$18,0))</f>
        <v>E2 - Llenado y tapado</v>
      </c>
      <c r="E301" s="7" t="n">
        <f aca="false">IF(WEEKDAY($A301,2)&lt;6,Parametros!$B$21,Parametros!$B$22)</f>
        <v>6</v>
      </c>
      <c r="F301" s="7" t="n">
        <v>1</v>
      </c>
      <c r="G301" s="7" t="n">
        <f aca="false">E301-F301</f>
        <v>5</v>
      </c>
      <c r="H301" s="7" t="n">
        <v>0</v>
      </c>
      <c r="I301" s="7" t="n">
        <f aca="false">G301-H301</f>
        <v>5</v>
      </c>
      <c r="J301" s="6" t="s">
        <v>27</v>
      </c>
      <c r="K301" s="5" t="n">
        <f aca="false">INDEX(Parametros!$C$16:$C$18,MATCH($C301,Parametros!$A$16:$A$18,0))</f>
        <v>95</v>
      </c>
      <c r="L301" s="5" t="n">
        <f aca="false">I301*K301</f>
        <v>475</v>
      </c>
      <c r="M301" s="5" t="n">
        <v>324</v>
      </c>
      <c r="N301" s="5" t="n">
        <v>322</v>
      </c>
      <c r="O301" s="5" t="n">
        <f aca="false">M301-N301</f>
        <v>2</v>
      </c>
      <c r="P301" s="8" t="n">
        <f aca="false">IFERROR(I301/G301,0)</f>
        <v>1</v>
      </c>
      <c r="Q301" s="8" t="n">
        <f aca="false">IFERROR(M301/L301,0)</f>
        <v>0.682105263157895</v>
      </c>
      <c r="R301" s="8" t="n">
        <f aca="false">IFERROR(N301/M301,0)</f>
        <v>0.993827160493827</v>
      </c>
      <c r="S301" s="8" t="n">
        <f aca="false">P301*Q301*R301</f>
        <v>0.677894736842105</v>
      </c>
    </row>
    <row r="302" customFormat="false" ht="15" hidden="false" customHeight="false" outlineLevel="0" collapsed="false">
      <c r="A302" s="4" t="n">
        <v>46141</v>
      </c>
      <c r="B302" s="5" t="n">
        <f aca="false">MONTH($A302)</f>
        <v>4</v>
      </c>
      <c r="C302" s="5" t="n">
        <v>3</v>
      </c>
      <c r="D302" s="6" t="str">
        <f aca="false">INDEX(Parametros!$B$16:$B$18,MATCH($C302,Parametros!$A$16:$A$18,0))</f>
        <v>E3 - Sellado y etiquetado</v>
      </c>
      <c r="E302" s="7" t="n">
        <f aca="false">IF(WEEKDAY($A302,2)&lt;6,Parametros!$B$21,Parametros!$B$22)</f>
        <v>6</v>
      </c>
      <c r="F302" s="7" t="n">
        <v>0.25</v>
      </c>
      <c r="G302" s="7" t="n">
        <f aca="false">E302-F302</f>
        <v>5.75</v>
      </c>
      <c r="H302" s="7" t="n">
        <v>0</v>
      </c>
      <c r="I302" s="7" t="n">
        <f aca="false">G302-H302</f>
        <v>5.75</v>
      </c>
      <c r="J302" s="6" t="s">
        <v>27</v>
      </c>
      <c r="K302" s="5" t="n">
        <f aca="false">INDEX(Parametros!$C$16:$C$18,MATCH($C302,Parametros!$A$16:$A$18,0))</f>
        <v>95</v>
      </c>
      <c r="L302" s="5" t="n">
        <f aca="false">I302*K302</f>
        <v>546.25</v>
      </c>
      <c r="M302" s="5" t="n">
        <v>322</v>
      </c>
      <c r="N302" s="5" t="n">
        <v>321</v>
      </c>
      <c r="O302" s="5" t="n">
        <f aca="false">M302-N302</f>
        <v>1</v>
      </c>
      <c r="P302" s="8" t="n">
        <f aca="false">IFERROR(I302/G302,0)</f>
        <v>1</v>
      </c>
      <c r="Q302" s="8" t="n">
        <f aca="false">IFERROR(M302/L302,0)</f>
        <v>0.589473684210526</v>
      </c>
      <c r="R302" s="8" t="n">
        <f aca="false">IFERROR(N302/M302,0)</f>
        <v>0.996894409937888</v>
      </c>
      <c r="S302" s="8" t="n">
        <f aca="false">P302*Q302*R302</f>
        <v>0.587643020594966</v>
      </c>
    </row>
    <row r="303" customFormat="false" ht="15" hidden="false" customHeight="false" outlineLevel="0" collapsed="false">
      <c r="A303" s="4" t="n">
        <v>46142</v>
      </c>
      <c r="B303" s="5" t="n">
        <f aca="false">MONTH($A303)</f>
        <v>4</v>
      </c>
      <c r="C303" s="5" t="n">
        <v>1</v>
      </c>
      <c r="D303" s="6" t="str">
        <f aca="false">INDEX(Parametros!$B$16:$B$18,MATCH($C303,Parametros!$A$16:$A$18,0))</f>
        <v>E1 - Lavado y sanitizado de bidones</v>
      </c>
      <c r="E303" s="7" t="n">
        <f aca="false">IF(WEEKDAY($A303,2)&lt;6,Parametros!$B$21,Parametros!$B$22)</f>
        <v>6</v>
      </c>
      <c r="F303" s="7" t="n">
        <v>0.5</v>
      </c>
      <c r="G303" s="7" t="n">
        <f aca="false">E303-F303</f>
        <v>5.5</v>
      </c>
      <c r="H303" s="7" t="n">
        <v>0</v>
      </c>
      <c r="I303" s="7" t="n">
        <f aca="false">G303-H303</f>
        <v>5.5</v>
      </c>
      <c r="J303" s="6" t="s">
        <v>27</v>
      </c>
      <c r="K303" s="5" t="n">
        <f aca="false">INDEX(Parametros!$C$16:$C$18,MATCH($C303,Parametros!$A$16:$A$18,0))</f>
        <v>100</v>
      </c>
      <c r="L303" s="5" t="n">
        <f aca="false">I303*K303</f>
        <v>550</v>
      </c>
      <c r="M303" s="5" t="n">
        <v>320</v>
      </c>
      <c r="N303" s="5" t="n">
        <v>319</v>
      </c>
      <c r="O303" s="5" t="n">
        <f aca="false">M303-N303</f>
        <v>1</v>
      </c>
      <c r="P303" s="8" t="n">
        <f aca="false">IFERROR(I303/G303,0)</f>
        <v>1</v>
      </c>
      <c r="Q303" s="8" t="n">
        <f aca="false">IFERROR(M303/L303,0)</f>
        <v>0.581818181818182</v>
      </c>
      <c r="R303" s="8" t="n">
        <f aca="false">IFERROR(N303/M303,0)</f>
        <v>0.996875</v>
      </c>
      <c r="S303" s="8" t="n">
        <f aca="false">P303*Q303*R303</f>
        <v>0.58</v>
      </c>
    </row>
    <row r="304" customFormat="false" ht="15" hidden="false" customHeight="false" outlineLevel="0" collapsed="false">
      <c r="A304" s="4" t="n">
        <v>46142</v>
      </c>
      <c r="B304" s="5" t="n">
        <f aca="false">MONTH($A304)</f>
        <v>4</v>
      </c>
      <c r="C304" s="5" t="n">
        <v>2</v>
      </c>
      <c r="D304" s="6" t="str">
        <f aca="false">INDEX(Parametros!$B$16:$B$18,MATCH($C304,Parametros!$A$16:$A$18,0))</f>
        <v>E2 - Llenado y tapado</v>
      </c>
      <c r="E304" s="7" t="n">
        <f aca="false">IF(WEEKDAY($A304,2)&lt;6,Parametros!$B$21,Parametros!$B$22)</f>
        <v>6</v>
      </c>
      <c r="F304" s="7" t="n">
        <v>0.75</v>
      </c>
      <c r="G304" s="7" t="n">
        <f aca="false">E304-F304</f>
        <v>5.25</v>
      </c>
      <c r="H304" s="7" t="n">
        <v>0</v>
      </c>
      <c r="I304" s="7" t="n">
        <f aca="false">G304-H304</f>
        <v>5.25</v>
      </c>
      <c r="J304" s="6" t="s">
        <v>27</v>
      </c>
      <c r="K304" s="5" t="n">
        <f aca="false">INDEX(Parametros!$C$16:$C$18,MATCH($C304,Parametros!$A$16:$A$18,0))</f>
        <v>95</v>
      </c>
      <c r="L304" s="5" t="n">
        <f aca="false">I304*K304</f>
        <v>498.75</v>
      </c>
      <c r="M304" s="5" t="n">
        <v>319</v>
      </c>
      <c r="N304" s="5" t="n">
        <v>310</v>
      </c>
      <c r="O304" s="5" t="n">
        <f aca="false">M304-N304</f>
        <v>9</v>
      </c>
      <c r="P304" s="8" t="n">
        <f aca="false">IFERROR(I304/G304,0)</f>
        <v>1</v>
      </c>
      <c r="Q304" s="8" t="n">
        <f aca="false">IFERROR(M304/L304,0)</f>
        <v>0.639598997493734</v>
      </c>
      <c r="R304" s="8" t="n">
        <f aca="false">IFERROR(N304/M304,0)</f>
        <v>0.971786833855799</v>
      </c>
      <c r="S304" s="8" t="n">
        <f aca="false">P304*Q304*R304</f>
        <v>0.62155388471178</v>
      </c>
    </row>
    <row r="305" customFormat="false" ht="15" hidden="false" customHeight="false" outlineLevel="0" collapsed="false">
      <c r="A305" s="4" t="n">
        <v>46142</v>
      </c>
      <c r="B305" s="5" t="n">
        <f aca="false">MONTH($A305)</f>
        <v>4</v>
      </c>
      <c r="C305" s="5" t="n">
        <v>3</v>
      </c>
      <c r="D305" s="6" t="str">
        <f aca="false">INDEX(Parametros!$B$16:$B$18,MATCH($C305,Parametros!$A$16:$A$18,0))</f>
        <v>E3 - Sellado y etiquetado</v>
      </c>
      <c r="E305" s="7" t="n">
        <f aca="false">IF(WEEKDAY($A305,2)&lt;6,Parametros!$B$21,Parametros!$B$22)</f>
        <v>6</v>
      </c>
      <c r="F305" s="7" t="n">
        <v>0.25</v>
      </c>
      <c r="G305" s="7" t="n">
        <f aca="false">E305-F305</f>
        <v>5.75</v>
      </c>
      <c r="H305" s="7" t="n">
        <v>0</v>
      </c>
      <c r="I305" s="7" t="n">
        <f aca="false">G305-H305</f>
        <v>5.75</v>
      </c>
      <c r="J305" s="6" t="s">
        <v>27</v>
      </c>
      <c r="K305" s="5" t="n">
        <f aca="false">INDEX(Parametros!$C$16:$C$18,MATCH($C305,Parametros!$A$16:$A$18,0))</f>
        <v>95</v>
      </c>
      <c r="L305" s="5" t="n">
        <f aca="false">I305*K305</f>
        <v>546.25</v>
      </c>
      <c r="M305" s="5" t="n">
        <v>310</v>
      </c>
      <c r="N305" s="5" t="n">
        <v>309</v>
      </c>
      <c r="O305" s="5" t="n">
        <f aca="false">M305-N305</f>
        <v>1</v>
      </c>
      <c r="P305" s="8" t="n">
        <f aca="false">IFERROR(I305/G305,0)</f>
        <v>1</v>
      </c>
      <c r="Q305" s="8" t="n">
        <f aca="false">IFERROR(M305/L305,0)</f>
        <v>0.567505720823799</v>
      </c>
      <c r="R305" s="8" t="n">
        <f aca="false">IFERROR(N305/M305,0)</f>
        <v>0.996774193548387</v>
      </c>
      <c r="S305" s="8" t="n">
        <f aca="false">P305*Q305*R305</f>
        <v>0.565675057208238</v>
      </c>
    </row>
    <row r="306" customFormat="false" ht="15" hidden="false" customHeight="false" outlineLevel="0" collapsed="false">
      <c r="A306" s="4" t="n">
        <v>46144</v>
      </c>
      <c r="B306" s="5" t="n">
        <f aca="false">MONTH($A306)</f>
        <v>5</v>
      </c>
      <c r="C306" s="5" t="n">
        <v>1</v>
      </c>
      <c r="D306" s="6" t="str">
        <f aca="false">INDEX(Parametros!$B$16:$B$18,MATCH($C306,Parametros!$A$16:$A$18,0))</f>
        <v>E1 - Lavado y sanitizado de bidones</v>
      </c>
      <c r="E306" s="7" t="n">
        <f aca="false">IF(WEEKDAY($A306,2)&lt;6,Parametros!$B$21,Parametros!$B$22)</f>
        <v>4</v>
      </c>
      <c r="F306" s="7" t="n">
        <v>0.75</v>
      </c>
      <c r="G306" s="7" t="n">
        <f aca="false">E306-F306</f>
        <v>3.25</v>
      </c>
      <c r="H306" s="7" t="n">
        <v>0.25</v>
      </c>
      <c r="I306" s="7" t="n">
        <f aca="false">G306-H306</f>
        <v>3</v>
      </c>
      <c r="J306" s="6" t="s">
        <v>24</v>
      </c>
      <c r="K306" s="5" t="n">
        <f aca="false">INDEX(Parametros!$C$16:$C$18,MATCH($C306,Parametros!$A$16:$A$18,0))</f>
        <v>100</v>
      </c>
      <c r="L306" s="5" t="n">
        <f aca="false">I306*K306</f>
        <v>300</v>
      </c>
      <c r="M306" s="5" t="n">
        <v>196</v>
      </c>
      <c r="N306" s="5" t="n">
        <v>194</v>
      </c>
      <c r="O306" s="5" t="n">
        <f aca="false">M306-N306</f>
        <v>2</v>
      </c>
      <c r="P306" s="8" t="n">
        <f aca="false">IFERROR(I306/G306,0)</f>
        <v>0.923076923076923</v>
      </c>
      <c r="Q306" s="8" t="n">
        <f aca="false">IFERROR(M306/L306,0)</f>
        <v>0.653333333333333</v>
      </c>
      <c r="R306" s="8" t="n">
        <f aca="false">IFERROR(N306/M306,0)</f>
        <v>0.989795918367347</v>
      </c>
      <c r="S306" s="8" t="n">
        <f aca="false">P306*Q306*R306</f>
        <v>0.596923076923077</v>
      </c>
    </row>
    <row r="307" customFormat="false" ht="15" hidden="false" customHeight="false" outlineLevel="0" collapsed="false">
      <c r="A307" s="4" t="n">
        <v>46144</v>
      </c>
      <c r="B307" s="5" t="n">
        <f aca="false">MONTH($A307)</f>
        <v>5</v>
      </c>
      <c r="C307" s="5" t="n">
        <v>2</v>
      </c>
      <c r="D307" s="6" t="str">
        <f aca="false">INDEX(Parametros!$B$16:$B$18,MATCH($C307,Parametros!$A$16:$A$18,0))</f>
        <v>E2 - Llenado y tapado</v>
      </c>
      <c r="E307" s="7" t="n">
        <f aca="false">IF(WEEKDAY($A307,2)&lt;6,Parametros!$B$21,Parametros!$B$22)</f>
        <v>4</v>
      </c>
      <c r="F307" s="7" t="n">
        <v>1</v>
      </c>
      <c r="G307" s="7" t="n">
        <f aca="false">E307-F307</f>
        <v>3</v>
      </c>
      <c r="H307" s="7" t="n">
        <v>0.75</v>
      </c>
      <c r="I307" s="7" t="n">
        <f aca="false">G307-H307</f>
        <v>2.25</v>
      </c>
      <c r="J307" s="6" t="s">
        <v>26</v>
      </c>
      <c r="K307" s="5" t="n">
        <f aca="false">INDEX(Parametros!$C$16:$C$18,MATCH($C307,Parametros!$A$16:$A$18,0))</f>
        <v>95</v>
      </c>
      <c r="L307" s="5" t="n">
        <f aca="false">I307*K307</f>
        <v>213.75</v>
      </c>
      <c r="M307" s="5" t="n">
        <v>194</v>
      </c>
      <c r="N307" s="5" t="n">
        <v>190</v>
      </c>
      <c r="O307" s="5" t="n">
        <f aca="false">M307-N307</f>
        <v>4</v>
      </c>
      <c r="P307" s="8" t="n">
        <f aca="false">IFERROR(I307/G307,0)</f>
        <v>0.75</v>
      </c>
      <c r="Q307" s="8" t="n">
        <f aca="false">IFERROR(M307/L307,0)</f>
        <v>0.907602339181287</v>
      </c>
      <c r="R307" s="8" t="n">
        <f aca="false">IFERROR(N307/M307,0)</f>
        <v>0.979381443298969</v>
      </c>
      <c r="S307" s="8" t="n">
        <f aca="false">P307*Q307*R307</f>
        <v>0.666666666666667</v>
      </c>
    </row>
    <row r="308" customFormat="false" ht="15" hidden="false" customHeight="false" outlineLevel="0" collapsed="false">
      <c r="A308" s="4" t="n">
        <v>46144</v>
      </c>
      <c r="B308" s="5" t="n">
        <f aca="false">MONTH($A308)</f>
        <v>5</v>
      </c>
      <c r="C308" s="5" t="n">
        <v>3</v>
      </c>
      <c r="D308" s="6" t="str">
        <f aca="false">INDEX(Parametros!$B$16:$B$18,MATCH($C308,Parametros!$A$16:$A$18,0))</f>
        <v>E3 - Sellado y etiquetado</v>
      </c>
      <c r="E308" s="7" t="n">
        <f aca="false">IF(WEEKDAY($A308,2)&lt;6,Parametros!$B$21,Parametros!$B$22)</f>
        <v>4</v>
      </c>
      <c r="F308" s="7" t="n">
        <v>0.5</v>
      </c>
      <c r="G308" s="7" t="n">
        <f aca="false">E308-F308</f>
        <v>3.5</v>
      </c>
      <c r="H308" s="7" t="n">
        <v>0</v>
      </c>
      <c r="I308" s="7" t="n">
        <f aca="false">G308-H308</f>
        <v>3.5</v>
      </c>
      <c r="J308" s="6" t="s">
        <v>27</v>
      </c>
      <c r="K308" s="5" t="n">
        <f aca="false">INDEX(Parametros!$C$16:$C$18,MATCH($C308,Parametros!$A$16:$A$18,0))</f>
        <v>95</v>
      </c>
      <c r="L308" s="5" t="n">
        <f aca="false">I308*K308</f>
        <v>332.5</v>
      </c>
      <c r="M308" s="5" t="n">
        <v>190</v>
      </c>
      <c r="N308" s="5" t="n">
        <v>186</v>
      </c>
      <c r="O308" s="5" t="n">
        <f aca="false">M308-N308</f>
        <v>4</v>
      </c>
      <c r="P308" s="8" t="n">
        <f aca="false">IFERROR(I308/G308,0)</f>
        <v>1</v>
      </c>
      <c r="Q308" s="8" t="n">
        <f aca="false">IFERROR(M308/L308,0)</f>
        <v>0.571428571428571</v>
      </c>
      <c r="R308" s="8" t="n">
        <f aca="false">IFERROR(N308/M308,0)</f>
        <v>0.978947368421053</v>
      </c>
      <c r="S308" s="8" t="n">
        <f aca="false">P308*Q308*R308</f>
        <v>0.559398496240602</v>
      </c>
    </row>
    <row r="309" customFormat="false" ht="15" hidden="false" customHeight="false" outlineLevel="0" collapsed="false">
      <c r="A309" s="4" t="n">
        <v>46146</v>
      </c>
      <c r="B309" s="5" t="n">
        <f aca="false">MONTH($A309)</f>
        <v>5</v>
      </c>
      <c r="C309" s="5" t="n">
        <v>1</v>
      </c>
      <c r="D309" s="6" t="str">
        <f aca="false">INDEX(Parametros!$B$16:$B$18,MATCH($C309,Parametros!$A$16:$A$18,0))</f>
        <v>E1 - Lavado y sanitizado de bidones</v>
      </c>
      <c r="E309" s="7" t="n">
        <f aca="false">IF(WEEKDAY($A309,2)&lt;6,Parametros!$B$21,Parametros!$B$22)</f>
        <v>6</v>
      </c>
      <c r="F309" s="7" t="n">
        <v>0.5</v>
      </c>
      <c r="G309" s="7" t="n">
        <f aca="false">E309-F309</f>
        <v>5.5</v>
      </c>
      <c r="H309" s="7" t="n">
        <v>2.75</v>
      </c>
      <c r="I309" s="7" t="n">
        <f aca="false">G309-H309</f>
        <v>2.75</v>
      </c>
      <c r="J309" s="6" t="s">
        <v>30</v>
      </c>
      <c r="K309" s="5" t="n">
        <f aca="false">INDEX(Parametros!$C$16:$C$18,MATCH($C309,Parametros!$A$16:$A$18,0))</f>
        <v>100</v>
      </c>
      <c r="L309" s="5" t="n">
        <f aca="false">I309*K309</f>
        <v>275</v>
      </c>
      <c r="M309" s="5" t="n">
        <v>168</v>
      </c>
      <c r="N309" s="5" t="n">
        <v>166</v>
      </c>
      <c r="O309" s="5" t="n">
        <f aca="false">M309-N309</f>
        <v>2</v>
      </c>
      <c r="P309" s="8" t="n">
        <f aca="false">IFERROR(I309/G309,0)</f>
        <v>0.5</v>
      </c>
      <c r="Q309" s="8" t="n">
        <f aca="false">IFERROR(M309/L309,0)</f>
        <v>0.610909090909091</v>
      </c>
      <c r="R309" s="8" t="n">
        <f aca="false">IFERROR(N309/M309,0)</f>
        <v>0.988095238095238</v>
      </c>
      <c r="S309" s="8" t="n">
        <f aca="false">P309*Q309*R309</f>
        <v>0.301818181818182</v>
      </c>
    </row>
    <row r="310" customFormat="false" ht="15" hidden="false" customHeight="false" outlineLevel="0" collapsed="false">
      <c r="A310" s="4" t="n">
        <v>46146</v>
      </c>
      <c r="B310" s="5" t="n">
        <f aca="false">MONTH($A310)</f>
        <v>5</v>
      </c>
      <c r="C310" s="5" t="n">
        <v>2</v>
      </c>
      <c r="D310" s="6" t="str">
        <f aca="false">INDEX(Parametros!$B$16:$B$18,MATCH($C310,Parametros!$A$16:$A$18,0))</f>
        <v>E2 - Llenado y tapado</v>
      </c>
      <c r="E310" s="7" t="n">
        <f aca="false">IF(WEEKDAY($A310,2)&lt;6,Parametros!$B$21,Parametros!$B$22)</f>
        <v>6</v>
      </c>
      <c r="F310" s="7" t="n">
        <v>0.75</v>
      </c>
      <c r="G310" s="7" t="n">
        <f aca="false">E310-F310</f>
        <v>5.25</v>
      </c>
      <c r="H310" s="7" t="n">
        <v>3.25</v>
      </c>
      <c r="I310" s="7" t="n">
        <f aca="false">G310-H310</f>
        <v>2</v>
      </c>
      <c r="J310" s="6" t="s">
        <v>28</v>
      </c>
      <c r="K310" s="5" t="n">
        <f aca="false">INDEX(Parametros!$C$16:$C$18,MATCH($C310,Parametros!$A$16:$A$18,0))</f>
        <v>95</v>
      </c>
      <c r="L310" s="5" t="n">
        <f aca="false">I310*K310</f>
        <v>190</v>
      </c>
      <c r="M310" s="5" t="n">
        <v>166</v>
      </c>
      <c r="N310" s="5" t="n">
        <v>162</v>
      </c>
      <c r="O310" s="5" t="n">
        <f aca="false">M310-N310</f>
        <v>4</v>
      </c>
      <c r="P310" s="8" t="n">
        <f aca="false">IFERROR(I310/G310,0)</f>
        <v>0.380952380952381</v>
      </c>
      <c r="Q310" s="8" t="n">
        <f aca="false">IFERROR(M310/L310,0)</f>
        <v>0.873684210526316</v>
      </c>
      <c r="R310" s="8" t="n">
        <f aca="false">IFERROR(N310/M310,0)</f>
        <v>0.975903614457831</v>
      </c>
      <c r="S310" s="8" t="n">
        <f aca="false">P310*Q310*R310</f>
        <v>0.324812030075188</v>
      </c>
    </row>
    <row r="311" customFormat="false" ht="15" hidden="false" customHeight="false" outlineLevel="0" collapsed="false">
      <c r="A311" s="4" t="n">
        <v>46146</v>
      </c>
      <c r="B311" s="5" t="n">
        <f aca="false">MONTH($A311)</f>
        <v>5</v>
      </c>
      <c r="C311" s="5" t="n">
        <v>3</v>
      </c>
      <c r="D311" s="6" t="str">
        <f aca="false">INDEX(Parametros!$B$16:$B$18,MATCH($C311,Parametros!$A$16:$A$18,0))</f>
        <v>E3 - Sellado y etiquetado</v>
      </c>
      <c r="E311" s="7" t="n">
        <f aca="false">IF(WEEKDAY($A311,2)&lt;6,Parametros!$B$21,Parametros!$B$22)</f>
        <v>6</v>
      </c>
      <c r="F311" s="7" t="n">
        <v>0.25</v>
      </c>
      <c r="G311" s="7" t="n">
        <f aca="false">E311-F311</f>
        <v>5.75</v>
      </c>
      <c r="H311" s="7" t="n">
        <v>2.5</v>
      </c>
      <c r="I311" s="7" t="n">
        <f aca="false">G311-H311</f>
        <v>3.25</v>
      </c>
      <c r="J311" s="6" t="s">
        <v>25</v>
      </c>
      <c r="K311" s="5" t="n">
        <f aca="false">INDEX(Parametros!$C$16:$C$18,MATCH($C311,Parametros!$A$16:$A$18,0))</f>
        <v>95</v>
      </c>
      <c r="L311" s="5" t="n">
        <f aca="false">I311*K311</f>
        <v>308.75</v>
      </c>
      <c r="M311" s="5" t="n">
        <v>162</v>
      </c>
      <c r="N311" s="5" t="n">
        <v>161</v>
      </c>
      <c r="O311" s="5" t="n">
        <f aca="false">M311-N311</f>
        <v>1</v>
      </c>
      <c r="P311" s="8" t="n">
        <f aca="false">IFERROR(I311/G311,0)</f>
        <v>0.565217391304348</v>
      </c>
      <c r="Q311" s="8" t="n">
        <f aca="false">IFERROR(M311/L311,0)</f>
        <v>0.524696356275304</v>
      </c>
      <c r="R311" s="8" t="n">
        <f aca="false">IFERROR(N311/M311,0)</f>
        <v>0.993827160493827</v>
      </c>
      <c r="S311" s="8" t="n">
        <f aca="false">P311*Q311*R311</f>
        <v>0.294736842105263</v>
      </c>
    </row>
    <row r="312" customFormat="false" ht="15" hidden="false" customHeight="false" outlineLevel="0" collapsed="false">
      <c r="A312" s="4" t="n">
        <v>46147</v>
      </c>
      <c r="B312" s="5" t="n">
        <f aca="false">MONTH($A312)</f>
        <v>5</v>
      </c>
      <c r="C312" s="5" t="n">
        <v>1</v>
      </c>
      <c r="D312" s="6" t="str">
        <f aca="false">INDEX(Parametros!$B$16:$B$18,MATCH($C312,Parametros!$A$16:$A$18,0))</f>
        <v>E1 - Lavado y sanitizado de bidones</v>
      </c>
      <c r="E312" s="7" t="n">
        <f aca="false">IF(WEEKDAY($A312,2)&lt;6,Parametros!$B$21,Parametros!$B$22)</f>
        <v>6</v>
      </c>
      <c r="F312" s="7" t="n">
        <v>0.5</v>
      </c>
      <c r="G312" s="7" t="n">
        <f aca="false">E312-F312</f>
        <v>5.5</v>
      </c>
      <c r="H312" s="7" t="n">
        <v>0</v>
      </c>
      <c r="I312" s="7" t="n">
        <f aca="false">G312-H312</f>
        <v>5.5</v>
      </c>
      <c r="J312" s="6" t="s">
        <v>27</v>
      </c>
      <c r="K312" s="5" t="n">
        <f aca="false">INDEX(Parametros!$C$16:$C$18,MATCH($C312,Parametros!$A$16:$A$18,0))</f>
        <v>100</v>
      </c>
      <c r="L312" s="5" t="n">
        <f aca="false">I312*K312</f>
        <v>550</v>
      </c>
      <c r="M312" s="5" t="n">
        <v>303</v>
      </c>
      <c r="N312" s="5" t="n">
        <v>301</v>
      </c>
      <c r="O312" s="5" t="n">
        <f aca="false">M312-N312</f>
        <v>2</v>
      </c>
      <c r="P312" s="8" t="n">
        <f aca="false">IFERROR(I312/G312,0)</f>
        <v>1</v>
      </c>
      <c r="Q312" s="8" t="n">
        <f aca="false">IFERROR(M312/L312,0)</f>
        <v>0.550909090909091</v>
      </c>
      <c r="R312" s="8" t="n">
        <f aca="false">IFERROR(N312/M312,0)</f>
        <v>0.993399339933993</v>
      </c>
      <c r="S312" s="8" t="n">
        <f aca="false">P312*Q312*R312</f>
        <v>0.547272727272727</v>
      </c>
    </row>
    <row r="313" customFormat="false" ht="15" hidden="false" customHeight="false" outlineLevel="0" collapsed="false">
      <c r="A313" s="4" t="n">
        <v>46147</v>
      </c>
      <c r="B313" s="5" t="n">
        <f aca="false">MONTH($A313)</f>
        <v>5</v>
      </c>
      <c r="C313" s="5" t="n">
        <v>2</v>
      </c>
      <c r="D313" s="6" t="str">
        <f aca="false">INDEX(Parametros!$B$16:$B$18,MATCH($C313,Parametros!$A$16:$A$18,0))</f>
        <v>E2 - Llenado y tapado</v>
      </c>
      <c r="E313" s="7" t="n">
        <f aca="false">IF(WEEKDAY($A313,2)&lt;6,Parametros!$B$21,Parametros!$B$22)</f>
        <v>6</v>
      </c>
      <c r="F313" s="7" t="n">
        <v>0.75</v>
      </c>
      <c r="G313" s="7" t="n">
        <f aca="false">E313-F313</f>
        <v>5.25</v>
      </c>
      <c r="H313" s="7" t="n">
        <v>1</v>
      </c>
      <c r="I313" s="7" t="n">
        <f aca="false">G313-H313</f>
        <v>4.25</v>
      </c>
      <c r="J313" s="6" t="s">
        <v>26</v>
      </c>
      <c r="K313" s="5" t="n">
        <f aca="false">INDEX(Parametros!$C$16:$C$18,MATCH($C313,Parametros!$A$16:$A$18,0))</f>
        <v>95</v>
      </c>
      <c r="L313" s="5" t="n">
        <f aca="false">I313*K313</f>
        <v>403.75</v>
      </c>
      <c r="M313" s="5" t="n">
        <v>301</v>
      </c>
      <c r="N313" s="5" t="n">
        <v>293</v>
      </c>
      <c r="O313" s="5" t="n">
        <f aca="false">M313-N313</f>
        <v>8</v>
      </c>
      <c r="P313" s="8" t="n">
        <f aca="false">IFERROR(I313/G313,0)</f>
        <v>0.80952380952381</v>
      </c>
      <c r="Q313" s="8" t="n">
        <f aca="false">IFERROR(M313/L313,0)</f>
        <v>0.745510835913313</v>
      </c>
      <c r="R313" s="8" t="n">
        <f aca="false">IFERROR(N313/M313,0)</f>
        <v>0.973421926910299</v>
      </c>
      <c r="S313" s="8" t="n">
        <f aca="false">P313*Q313*R313</f>
        <v>0.587468671679198</v>
      </c>
    </row>
    <row r="314" customFormat="false" ht="15" hidden="false" customHeight="false" outlineLevel="0" collapsed="false">
      <c r="A314" s="4" t="n">
        <v>46147</v>
      </c>
      <c r="B314" s="5" t="n">
        <f aca="false">MONTH($A314)</f>
        <v>5</v>
      </c>
      <c r="C314" s="5" t="n">
        <v>3</v>
      </c>
      <c r="D314" s="6" t="str">
        <f aca="false">INDEX(Parametros!$B$16:$B$18,MATCH($C314,Parametros!$A$16:$A$18,0))</f>
        <v>E3 - Sellado y etiquetado</v>
      </c>
      <c r="E314" s="7" t="n">
        <f aca="false">IF(WEEKDAY($A314,2)&lt;6,Parametros!$B$21,Parametros!$B$22)</f>
        <v>6</v>
      </c>
      <c r="F314" s="7" t="n">
        <v>0.25</v>
      </c>
      <c r="G314" s="7" t="n">
        <f aca="false">E314-F314</f>
        <v>5.75</v>
      </c>
      <c r="H314" s="7" t="n">
        <v>0</v>
      </c>
      <c r="I314" s="7" t="n">
        <f aca="false">G314-H314</f>
        <v>5.75</v>
      </c>
      <c r="J314" s="6" t="s">
        <v>27</v>
      </c>
      <c r="K314" s="5" t="n">
        <f aca="false">INDEX(Parametros!$C$16:$C$18,MATCH($C314,Parametros!$A$16:$A$18,0))</f>
        <v>95</v>
      </c>
      <c r="L314" s="5" t="n">
        <f aca="false">I314*K314</f>
        <v>546.25</v>
      </c>
      <c r="M314" s="5" t="n">
        <v>293</v>
      </c>
      <c r="N314" s="5" t="n">
        <v>291</v>
      </c>
      <c r="O314" s="5" t="n">
        <f aca="false">M314-N314</f>
        <v>2</v>
      </c>
      <c r="P314" s="8" t="n">
        <f aca="false">IFERROR(I314/G314,0)</f>
        <v>1</v>
      </c>
      <c r="Q314" s="8" t="n">
        <f aca="false">IFERROR(M314/L314,0)</f>
        <v>0.536384439359268</v>
      </c>
      <c r="R314" s="8" t="n">
        <f aca="false">IFERROR(N314/M314,0)</f>
        <v>0.993174061433447</v>
      </c>
      <c r="S314" s="8" t="n">
        <f aca="false">P314*Q314*R314</f>
        <v>0.532723112128147</v>
      </c>
    </row>
    <row r="315" customFormat="false" ht="15" hidden="false" customHeight="false" outlineLevel="0" collapsed="false">
      <c r="A315" s="4" t="n">
        <v>46148</v>
      </c>
      <c r="B315" s="5" t="n">
        <f aca="false">MONTH($A315)</f>
        <v>5</v>
      </c>
      <c r="C315" s="5" t="n">
        <v>1</v>
      </c>
      <c r="D315" s="6" t="str">
        <f aca="false">INDEX(Parametros!$B$16:$B$18,MATCH($C315,Parametros!$A$16:$A$18,0))</f>
        <v>E1 - Lavado y sanitizado de bidones</v>
      </c>
      <c r="E315" s="7" t="n">
        <f aca="false">IF(WEEKDAY($A315,2)&lt;6,Parametros!$B$21,Parametros!$B$22)</f>
        <v>6</v>
      </c>
      <c r="F315" s="7" t="n">
        <v>0.5</v>
      </c>
      <c r="G315" s="7" t="n">
        <f aca="false">E315-F315</f>
        <v>5.5</v>
      </c>
      <c r="H315" s="7" t="n">
        <v>0.5</v>
      </c>
      <c r="I315" s="7" t="n">
        <f aca="false">G315-H315</f>
        <v>5</v>
      </c>
      <c r="J315" s="6" t="s">
        <v>26</v>
      </c>
      <c r="K315" s="5" t="n">
        <f aca="false">INDEX(Parametros!$C$16:$C$18,MATCH($C315,Parametros!$A$16:$A$18,0))</f>
        <v>100</v>
      </c>
      <c r="L315" s="5" t="n">
        <f aca="false">I315*K315</f>
        <v>500</v>
      </c>
      <c r="M315" s="5" t="n">
        <v>312</v>
      </c>
      <c r="N315" s="5" t="n">
        <v>308</v>
      </c>
      <c r="O315" s="5" t="n">
        <f aca="false">M315-N315</f>
        <v>4</v>
      </c>
      <c r="P315" s="8" t="n">
        <f aca="false">IFERROR(I315/G315,0)</f>
        <v>0.909090909090909</v>
      </c>
      <c r="Q315" s="8" t="n">
        <f aca="false">IFERROR(M315/L315,0)</f>
        <v>0.624</v>
      </c>
      <c r="R315" s="8" t="n">
        <f aca="false">IFERROR(N315/M315,0)</f>
        <v>0.987179487179487</v>
      </c>
      <c r="S315" s="8" t="n">
        <f aca="false">P315*Q315*R315</f>
        <v>0.56</v>
      </c>
    </row>
    <row r="316" customFormat="false" ht="15" hidden="false" customHeight="false" outlineLevel="0" collapsed="false">
      <c r="A316" s="4" t="n">
        <v>46148</v>
      </c>
      <c r="B316" s="5" t="n">
        <f aca="false">MONTH($A316)</f>
        <v>5</v>
      </c>
      <c r="C316" s="5" t="n">
        <v>2</v>
      </c>
      <c r="D316" s="6" t="str">
        <f aca="false">INDEX(Parametros!$B$16:$B$18,MATCH($C316,Parametros!$A$16:$A$18,0))</f>
        <v>E2 - Llenado y tapado</v>
      </c>
      <c r="E316" s="7" t="n">
        <f aca="false">IF(WEEKDAY($A316,2)&lt;6,Parametros!$B$21,Parametros!$B$22)</f>
        <v>6</v>
      </c>
      <c r="F316" s="7" t="n">
        <v>0.75</v>
      </c>
      <c r="G316" s="7" t="n">
        <f aca="false">E316-F316</f>
        <v>5.25</v>
      </c>
      <c r="H316" s="7" t="n">
        <v>0.5</v>
      </c>
      <c r="I316" s="7" t="n">
        <f aca="false">G316-H316</f>
        <v>4.75</v>
      </c>
      <c r="J316" s="6" t="s">
        <v>28</v>
      </c>
      <c r="K316" s="5" t="n">
        <f aca="false">INDEX(Parametros!$C$16:$C$18,MATCH($C316,Parametros!$A$16:$A$18,0))</f>
        <v>95</v>
      </c>
      <c r="L316" s="5" t="n">
        <f aca="false">I316*K316</f>
        <v>451.25</v>
      </c>
      <c r="M316" s="5" t="n">
        <v>308</v>
      </c>
      <c r="N316" s="5" t="n">
        <v>302</v>
      </c>
      <c r="O316" s="5" t="n">
        <f aca="false">M316-N316</f>
        <v>6</v>
      </c>
      <c r="P316" s="8" t="n">
        <f aca="false">IFERROR(I316/G316,0)</f>
        <v>0.904761904761905</v>
      </c>
      <c r="Q316" s="8" t="n">
        <f aca="false">IFERROR(M316/L316,0)</f>
        <v>0.682548476454294</v>
      </c>
      <c r="R316" s="8" t="n">
        <f aca="false">IFERROR(N316/M316,0)</f>
        <v>0.980519480519481</v>
      </c>
      <c r="S316" s="8" t="n">
        <f aca="false">P316*Q316*R316</f>
        <v>0.605513784461153</v>
      </c>
    </row>
    <row r="317" customFormat="false" ht="15" hidden="false" customHeight="false" outlineLevel="0" collapsed="false">
      <c r="A317" s="4" t="n">
        <v>46148</v>
      </c>
      <c r="B317" s="5" t="n">
        <f aca="false">MONTH($A317)</f>
        <v>5</v>
      </c>
      <c r="C317" s="5" t="n">
        <v>3</v>
      </c>
      <c r="D317" s="6" t="str">
        <f aca="false">INDEX(Parametros!$B$16:$B$18,MATCH($C317,Parametros!$A$16:$A$18,0))</f>
        <v>E3 - Sellado y etiquetado</v>
      </c>
      <c r="E317" s="7" t="n">
        <f aca="false">IF(WEEKDAY($A317,2)&lt;6,Parametros!$B$21,Parametros!$B$22)</f>
        <v>6</v>
      </c>
      <c r="F317" s="7" t="n">
        <v>0.25</v>
      </c>
      <c r="G317" s="7" t="n">
        <f aca="false">E317-F317</f>
        <v>5.75</v>
      </c>
      <c r="H317" s="7" t="n">
        <v>0</v>
      </c>
      <c r="I317" s="7" t="n">
        <f aca="false">G317-H317</f>
        <v>5.75</v>
      </c>
      <c r="J317" s="6" t="s">
        <v>27</v>
      </c>
      <c r="K317" s="5" t="n">
        <f aca="false">INDEX(Parametros!$C$16:$C$18,MATCH($C317,Parametros!$A$16:$A$18,0))</f>
        <v>95</v>
      </c>
      <c r="L317" s="5" t="n">
        <f aca="false">I317*K317</f>
        <v>546.25</v>
      </c>
      <c r="M317" s="5" t="n">
        <v>302</v>
      </c>
      <c r="N317" s="5" t="n">
        <v>299</v>
      </c>
      <c r="O317" s="5" t="n">
        <f aca="false">M317-N317</f>
        <v>3</v>
      </c>
      <c r="P317" s="8" t="n">
        <f aca="false">IFERROR(I317/G317,0)</f>
        <v>1</v>
      </c>
      <c r="Q317" s="8" t="n">
        <f aca="false">IFERROR(M317/L317,0)</f>
        <v>0.552860411899314</v>
      </c>
      <c r="R317" s="8" t="n">
        <f aca="false">IFERROR(N317/M317,0)</f>
        <v>0.990066225165563</v>
      </c>
      <c r="S317" s="8" t="n">
        <f aca="false">P317*Q317*R317</f>
        <v>0.547368421052632</v>
      </c>
    </row>
    <row r="318" customFormat="false" ht="15" hidden="false" customHeight="false" outlineLevel="0" collapsed="false">
      <c r="A318" s="4" t="n">
        <v>46149</v>
      </c>
      <c r="B318" s="5" t="n">
        <f aca="false">MONTH($A318)</f>
        <v>5</v>
      </c>
      <c r="C318" s="5" t="n">
        <v>1</v>
      </c>
      <c r="D318" s="6" t="str">
        <f aca="false">INDEX(Parametros!$B$16:$B$18,MATCH($C318,Parametros!$A$16:$A$18,0))</f>
        <v>E1 - Lavado y sanitizado de bidones</v>
      </c>
      <c r="E318" s="7" t="n">
        <f aca="false">IF(WEEKDAY($A318,2)&lt;6,Parametros!$B$21,Parametros!$B$22)</f>
        <v>6</v>
      </c>
      <c r="F318" s="7" t="n">
        <v>0.5</v>
      </c>
      <c r="G318" s="7" t="n">
        <f aca="false">E318-F318</f>
        <v>5.5</v>
      </c>
      <c r="H318" s="7" t="n">
        <v>0.5</v>
      </c>
      <c r="I318" s="7" t="n">
        <f aca="false">G318-H318</f>
        <v>5</v>
      </c>
      <c r="J318" s="6" t="s">
        <v>22</v>
      </c>
      <c r="K318" s="5" t="n">
        <f aca="false">INDEX(Parametros!$C$16:$C$18,MATCH($C318,Parametros!$A$16:$A$18,0))</f>
        <v>100</v>
      </c>
      <c r="L318" s="5" t="n">
        <f aca="false">I318*K318</f>
        <v>500</v>
      </c>
      <c r="M318" s="5" t="n">
        <v>308</v>
      </c>
      <c r="N318" s="5" t="n">
        <v>302</v>
      </c>
      <c r="O318" s="5" t="n">
        <f aca="false">M318-N318</f>
        <v>6</v>
      </c>
      <c r="P318" s="8" t="n">
        <f aca="false">IFERROR(I318/G318,0)</f>
        <v>0.909090909090909</v>
      </c>
      <c r="Q318" s="8" t="n">
        <f aca="false">IFERROR(M318/L318,0)</f>
        <v>0.616</v>
      </c>
      <c r="R318" s="8" t="n">
        <f aca="false">IFERROR(N318/M318,0)</f>
        <v>0.980519480519481</v>
      </c>
      <c r="S318" s="8" t="n">
        <f aca="false">P318*Q318*R318</f>
        <v>0.549090909090909</v>
      </c>
    </row>
    <row r="319" customFormat="false" ht="15" hidden="false" customHeight="false" outlineLevel="0" collapsed="false">
      <c r="A319" s="4" t="n">
        <v>46149</v>
      </c>
      <c r="B319" s="5" t="n">
        <f aca="false">MONTH($A319)</f>
        <v>5</v>
      </c>
      <c r="C319" s="5" t="n">
        <v>2</v>
      </c>
      <c r="D319" s="6" t="str">
        <f aca="false">INDEX(Parametros!$B$16:$B$18,MATCH($C319,Parametros!$A$16:$A$18,0))</f>
        <v>E2 - Llenado y tapado</v>
      </c>
      <c r="E319" s="7" t="n">
        <f aca="false">IF(WEEKDAY($A319,2)&lt;6,Parametros!$B$21,Parametros!$B$22)</f>
        <v>6</v>
      </c>
      <c r="F319" s="7" t="n">
        <v>0.75</v>
      </c>
      <c r="G319" s="7" t="n">
        <f aca="false">E319-F319</f>
        <v>5.25</v>
      </c>
      <c r="H319" s="7" t="n">
        <v>0</v>
      </c>
      <c r="I319" s="7" t="n">
        <f aca="false">G319-H319</f>
        <v>5.25</v>
      </c>
      <c r="J319" s="6" t="s">
        <v>27</v>
      </c>
      <c r="K319" s="5" t="n">
        <f aca="false">INDEX(Parametros!$C$16:$C$18,MATCH($C319,Parametros!$A$16:$A$18,0))</f>
        <v>95</v>
      </c>
      <c r="L319" s="5" t="n">
        <f aca="false">I319*K319</f>
        <v>498.75</v>
      </c>
      <c r="M319" s="5" t="n">
        <v>302</v>
      </c>
      <c r="N319" s="5" t="n">
        <v>293</v>
      </c>
      <c r="O319" s="5" t="n">
        <f aca="false">M319-N319</f>
        <v>9</v>
      </c>
      <c r="P319" s="8" t="n">
        <f aca="false">IFERROR(I319/G319,0)</f>
        <v>1</v>
      </c>
      <c r="Q319" s="8" t="n">
        <f aca="false">IFERROR(M319/L319,0)</f>
        <v>0.605513784461153</v>
      </c>
      <c r="R319" s="8" t="n">
        <f aca="false">IFERROR(N319/M319,0)</f>
        <v>0.970198675496689</v>
      </c>
      <c r="S319" s="8" t="n">
        <f aca="false">P319*Q319*R319</f>
        <v>0.587468671679198</v>
      </c>
    </row>
    <row r="320" customFormat="false" ht="15" hidden="false" customHeight="false" outlineLevel="0" collapsed="false">
      <c r="A320" s="4" t="n">
        <v>46149</v>
      </c>
      <c r="B320" s="5" t="n">
        <f aca="false">MONTH($A320)</f>
        <v>5</v>
      </c>
      <c r="C320" s="5" t="n">
        <v>3</v>
      </c>
      <c r="D320" s="6" t="str">
        <f aca="false">INDEX(Parametros!$B$16:$B$18,MATCH($C320,Parametros!$A$16:$A$18,0))</f>
        <v>E3 - Sellado y etiquetado</v>
      </c>
      <c r="E320" s="7" t="n">
        <f aca="false">IF(WEEKDAY($A320,2)&lt;6,Parametros!$B$21,Parametros!$B$22)</f>
        <v>6</v>
      </c>
      <c r="F320" s="7" t="n">
        <v>0.5</v>
      </c>
      <c r="G320" s="7" t="n">
        <f aca="false">E320-F320</f>
        <v>5.5</v>
      </c>
      <c r="H320" s="7" t="n">
        <v>0</v>
      </c>
      <c r="I320" s="7" t="n">
        <f aca="false">G320-H320</f>
        <v>5.5</v>
      </c>
      <c r="J320" s="6" t="s">
        <v>27</v>
      </c>
      <c r="K320" s="5" t="n">
        <f aca="false">INDEX(Parametros!$C$16:$C$18,MATCH($C320,Parametros!$A$16:$A$18,0))</f>
        <v>95</v>
      </c>
      <c r="L320" s="5" t="n">
        <f aca="false">I320*K320</f>
        <v>522.5</v>
      </c>
      <c r="M320" s="5" t="n">
        <v>293</v>
      </c>
      <c r="N320" s="5" t="n">
        <v>291</v>
      </c>
      <c r="O320" s="5" t="n">
        <f aca="false">M320-N320</f>
        <v>2</v>
      </c>
      <c r="P320" s="8" t="n">
        <f aca="false">IFERROR(I320/G320,0)</f>
        <v>1</v>
      </c>
      <c r="Q320" s="8" t="n">
        <f aca="false">IFERROR(M320/L320,0)</f>
        <v>0.560765550239235</v>
      </c>
      <c r="R320" s="8" t="n">
        <f aca="false">IFERROR(N320/M320,0)</f>
        <v>0.993174061433447</v>
      </c>
      <c r="S320" s="8" t="n">
        <f aca="false">P320*Q320*R320</f>
        <v>0.556937799043062</v>
      </c>
    </row>
    <row r="321" customFormat="false" ht="15" hidden="false" customHeight="false" outlineLevel="0" collapsed="false">
      <c r="A321" s="4" t="n">
        <v>46150</v>
      </c>
      <c r="B321" s="5" t="n">
        <f aca="false">MONTH($A321)</f>
        <v>5</v>
      </c>
      <c r="C321" s="5" t="n">
        <v>1</v>
      </c>
      <c r="D321" s="6" t="str">
        <f aca="false">INDEX(Parametros!$B$16:$B$18,MATCH($C321,Parametros!$A$16:$A$18,0))</f>
        <v>E1 - Lavado y sanitizado de bidones</v>
      </c>
      <c r="E321" s="7" t="n">
        <f aca="false">IF(WEEKDAY($A321,2)&lt;6,Parametros!$B$21,Parametros!$B$22)</f>
        <v>6</v>
      </c>
      <c r="F321" s="7" t="n">
        <v>0.75</v>
      </c>
      <c r="G321" s="7" t="n">
        <f aca="false">E321-F321</f>
        <v>5.25</v>
      </c>
      <c r="H321" s="7" t="n">
        <v>0</v>
      </c>
      <c r="I321" s="7" t="n">
        <f aca="false">G321-H321</f>
        <v>5.25</v>
      </c>
      <c r="J321" s="6" t="s">
        <v>27</v>
      </c>
      <c r="K321" s="5" t="n">
        <f aca="false">INDEX(Parametros!$C$16:$C$18,MATCH($C321,Parametros!$A$16:$A$18,0))</f>
        <v>100</v>
      </c>
      <c r="L321" s="5" t="n">
        <f aca="false">I321*K321</f>
        <v>525</v>
      </c>
      <c r="M321" s="5" t="n">
        <v>289</v>
      </c>
      <c r="N321" s="5" t="n">
        <v>286</v>
      </c>
      <c r="O321" s="5" t="n">
        <f aca="false">M321-N321</f>
        <v>3</v>
      </c>
      <c r="P321" s="8" t="n">
        <f aca="false">IFERROR(I321/G321,0)</f>
        <v>1</v>
      </c>
      <c r="Q321" s="8" t="n">
        <f aca="false">IFERROR(M321/L321,0)</f>
        <v>0.550476190476191</v>
      </c>
      <c r="R321" s="8" t="n">
        <f aca="false">IFERROR(N321/M321,0)</f>
        <v>0.98961937716263</v>
      </c>
      <c r="S321" s="8" t="n">
        <f aca="false">P321*Q321*R321</f>
        <v>0.544761904761905</v>
      </c>
    </row>
    <row r="322" customFormat="false" ht="15" hidden="false" customHeight="false" outlineLevel="0" collapsed="false">
      <c r="A322" s="4" t="n">
        <v>46150</v>
      </c>
      <c r="B322" s="5" t="n">
        <f aca="false">MONTH($A322)</f>
        <v>5</v>
      </c>
      <c r="C322" s="5" t="n">
        <v>2</v>
      </c>
      <c r="D322" s="6" t="str">
        <f aca="false">INDEX(Parametros!$B$16:$B$18,MATCH($C322,Parametros!$A$16:$A$18,0))</f>
        <v>E2 - Llenado y tapado</v>
      </c>
      <c r="E322" s="7" t="n">
        <f aca="false">IF(WEEKDAY($A322,2)&lt;6,Parametros!$B$21,Parametros!$B$22)</f>
        <v>6</v>
      </c>
      <c r="F322" s="7" t="n">
        <v>0.75</v>
      </c>
      <c r="G322" s="7" t="n">
        <f aca="false">E322-F322</f>
        <v>5.25</v>
      </c>
      <c r="H322" s="7" t="n">
        <v>0.5</v>
      </c>
      <c r="I322" s="7" t="n">
        <f aca="false">G322-H322</f>
        <v>4.75</v>
      </c>
      <c r="J322" s="6" t="s">
        <v>23</v>
      </c>
      <c r="K322" s="5" t="n">
        <f aca="false">INDEX(Parametros!$C$16:$C$18,MATCH($C322,Parametros!$A$16:$A$18,0))</f>
        <v>95</v>
      </c>
      <c r="L322" s="5" t="n">
        <f aca="false">I322*K322</f>
        <v>451.25</v>
      </c>
      <c r="M322" s="5" t="n">
        <v>286</v>
      </c>
      <c r="N322" s="5" t="n">
        <v>281</v>
      </c>
      <c r="O322" s="5" t="n">
        <f aca="false">M322-N322</f>
        <v>5</v>
      </c>
      <c r="P322" s="8" t="n">
        <f aca="false">IFERROR(I322/G322,0)</f>
        <v>0.904761904761905</v>
      </c>
      <c r="Q322" s="8" t="n">
        <f aca="false">IFERROR(M322/L322,0)</f>
        <v>0.633795013850416</v>
      </c>
      <c r="R322" s="8" t="n">
        <f aca="false">IFERROR(N322/M322,0)</f>
        <v>0.982517482517483</v>
      </c>
      <c r="S322" s="8" t="n">
        <f aca="false">P322*Q322*R322</f>
        <v>0.563408521303258</v>
      </c>
    </row>
    <row r="323" customFormat="false" ht="15" hidden="false" customHeight="false" outlineLevel="0" collapsed="false">
      <c r="A323" s="4" t="n">
        <v>46150</v>
      </c>
      <c r="B323" s="5" t="n">
        <f aca="false">MONTH($A323)</f>
        <v>5</v>
      </c>
      <c r="C323" s="5" t="n">
        <v>3</v>
      </c>
      <c r="D323" s="6" t="str">
        <f aca="false">INDEX(Parametros!$B$16:$B$18,MATCH($C323,Parametros!$A$16:$A$18,0))</f>
        <v>E3 - Sellado y etiquetado</v>
      </c>
      <c r="E323" s="7" t="n">
        <f aca="false">IF(WEEKDAY($A323,2)&lt;6,Parametros!$B$21,Parametros!$B$22)</f>
        <v>6</v>
      </c>
      <c r="F323" s="7" t="n">
        <v>0.25</v>
      </c>
      <c r="G323" s="7" t="n">
        <f aca="false">E323-F323</f>
        <v>5.75</v>
      </c>
      <c r="H323" s="7" t="n">
        <v>0</v>
      </c>
      <c r="I323" s="7" t="n">
        <f aca="false">G323-H323</f>
        <v>5.75</v>
      </c>
      <c r="J323" s="6" t="s">
        <v>27</v>
      </c>
      <c r="K323" s="5" t="n">
        <f aca="false">INDEX(Parametros!$C$16:$C$18,MATCH($C323,Parametros!$A$16:$A$18,0))</f>
        <v>95</v>
      </c>
      <c r="L323" s="5" t="n">
        <f aca="false">I323*K323</f>
        <v>546.25</v>
      </c>
      <c r="M323" s="5" t="n">
        <v>281</v>
      </c>
      <c r="N323" s="5" t="n">
        <v>278</v>
      </c>
      <c r="O323" s="5" t="n">
        <f aca="false">M323-N323</f>
        <v>3</v>
      </c>
      <c r="P323" s="8" t="n">
        <f aca="false">IFERROR(I323/G323,0)</f>
        <v>1</v>
      </c>
      <c r="Q323" s="8" t="n">
        <f aca="false">IFERROR(M323/L323,0)</f>
        <v>0.51441647597254</v>
      </c>
      <c r="R323" s="8" t="n">
        <f aca="false">IFERROR(N323/M323,0)</f>
        <v>0.98932384341637</v>
      </c>
      <c r="S323" s="8" t="n">
        <f aca="false">P323*Q323*R323</f>
        <v>0.508924485125858</v>
      </c>
    </row>
    <row r="324" customFormat="false" ht="15" hidden="false" customHeight="false" outlineLevel="0" collapsed="false">
      <c r="A324" s="4" t="n">
        <v>46151</v>
      </c>
      <c r="B324" s="5" t="n">
        <f aca="false">MONTH($A324)</f>
        <v>5</v>
      </c>
      <c r="C324" s="5" t="n">
        <v>1</v>
      </c>
      <c r="D324" s="6" t="str">
        <f aca="false">INDEX(Parametros!$B$16:$B$18,MATCH($C324,Parametros!$A$16:$A$18,0))</f>
        <v>E1 - Lavado y sanitizado de bidones</v>
      </c>
      <c r="E324" s="7" t="n">
        <f aca="false">IF(WEEKDAY($A324,2)&lt;6,Parametros!$B$21,Parametros!$B$22)</f>
        <v>4</v>
      </c>
      <c r="F324" s="7" t="n">
        <v>0.75</v>
      </c>
      <c r="G324" s="7" t="n">
        <f aca="false">E324-F324</f>
        <v>3.25</v>
      </c>
      <c r="H324" s="7" t="n">
        <v>0.75</v>
      </c>
      <c r="I324" s="7" t="n">
        <f aca="false">G324-H324</f>
        <v>2.5</v>
      </c>
      <c r="J324" s="6" t="s">
        <v>30</v>
      </c>
      <c r="K324" s="5" t="n">
        <f aca="false">INDEX(Parametros!$C$16:$C$18,MATCH($C324,Parametros!$A$16:$A$18,0))</f>
        <v>100</v>
      </c>
      <c r="L324" s="5" t="n">
        <f aca="false">I324*K324</f>
        <v>250</v>
      </c>
      <c r="M324" s="5" t="n">
        <v>177</v>
      </c>
      <c r="N324" s="5" t="n">
        <v>174</v>
      </c>
      <c r="O324" s="5" t="n">
        <f aca="false">M324-N324</f>
        <v>3</v>
      </c>
      <c r="P324" s="8" t="n">
        <f aca="false">IFERROR(I324/G324,0)</f>
        <v>0.769230769230769</v>
      </c>
      <c r="Q324" s="8" t="n">
        <f aca="false">IFERROR(M324/L324,0)</f>
        <v>0.708</v>
      </c>
      <c r="R324" s="8" t="n">
        <f aca="false">IFERROR(N324/M324,0)</f>
        <v>0.983050847457627</v>
      </c>
      <c r="S324" s="8" t="n">
        <f aca="false">P324*Q324*R324</f>
        <v>0.535384615384616</v>
      </c>
    </row>
    <row r="325" customFormat="false" ht="15" hidden="false" customHeight="false" outlineLevel="0" collapsed="false">
      <c r="A325" s="4" t="n">
        <v>46151</v>
      </c>
      <c r="B325" s="5" t="n">
        <f aca="false">MONTH($A325)</f>
        <v>5</v>
      </c>
      <c r="C325" s="5" t="n">
        <v>2</v>
      </c>
      <c r="D325" s="6" t="str">
        <f aca="false">INDEX(Parametros!$B$16:$B$18,MATCH($C325,Parametros!$A$16:$A$18,0))</f>
        <v>E2 - Llenado y tapado</v>
      </c>
      <c r="E325" s="7" t="n">
        <f aca="false">IF(WEEKDAY($A325,2)&lt;6,Parametros!$B$21,Parametros!$B$22)</f>
        <v>4</v>
      </c>
      <c r="F325" s="7" t="n">
        <v>1</v>
      </c>
      <c r="G325" s="7" t="n">
        <f aca="false">E325-F325</f>
        <v>3</v>
      </c>
      <c r="H325" s="7" t="n">
        <v>1</v>
      </c>
      <c r="I325" s="7" t="n">
        <f aca="false">G325-H325</f>
        <v>2</v>
      </c>
      <c r="J325" s="6" t="s">
        <v>28</v>
      </c>
      <c r="K325" s="5" t="n">
        <f aca="false">INDEX(Parametros!$C$16:$C$18,MATCH($C325,Parametros!$A$16:$A$18,0))</f>
        <v>95</v>
      </c>
      <c r="L325" s="5" t="n">
        <f aca="false">I325*K325</f>
        <v>190</v>
      </c>
      <c r="M325" s="5" t="n">
        <v>174</v>
      </c>
      <c r="N325" s="5" t="n">
        <v>170</v>
      </c>
      <c r="O325" s="5" t="n">
        <f aca="false">M325-N325</f>
        <v>4</v>
      </c>
      <c r="P325" s="8" t="n">
        <f aca="false">IFERROR(I325/G325,0)</f>
        <v>0.666666666666667</v>
      </c>
      <c r="Q325" s="8" t="n">
        <f aca="false">IFERROR(M325/L325,0)</f>
        <v>0.915789473684211</v>
      </c>
      <c r="R325" s="8" t="n">
        <f aca="false">IFERROR(N325/M325,0)</f>
        <v>0.977011494252874</v>
      </c>
      <c r="S325" s="8" t="n">
        <f aca="false">P325*Q325*R325</f>
        <v>0.596491228070175</v>
      </c>
    </row>
    <row r="326" customFormat="false" ht="15" hidden="false" customHeight="false" outlineLevel="0" collapsed="false">
      <c r="A326" s="4" t="n">
        <v>46151</v>
      </c>
      <c r="B326" s="5" t="n">
        <f aca="false">MONTH($A326)</f>
        <v>5</v>
      </c>
      <c r="C326" s="5" t="n">
        <v>3</v>
      </c>
      <c r="D326" s="6" t="str">
        <f aca="false">INDEX(Parametros!$B$16:$B$18,MATCH($C326,Parametros!$A$16:$A$18,0))</f>
        <v>E3 - Sellado y etiquetado</v>
      </c>
      <c r="E326" s="7" t="n">
        <f aca="false">IF(WEEKDAY($A326,2)&lt;6,Parametros!$B$21,Parametros!$B$22)</f>
        <v>4</v>
      </c>
      <c r="F326" s="7" t="n">
        <v>0.5</v>
      </c>
      <c r="G326" s="7" t="n">
        <f aca="false">E326-F326</f>
        <v>3.5</v>
      </c>
      <c r="H326" s="7" t="n">
        <v>0.25</v>
      </c>
      <c r="I326" s="7" t="n">
        <f aca="false">G326-H326</f>
        <v>3.25</v>
      </c>
      <c r="J326" s="6" t="s">
        <v>23</v>
      </c>
      <c r="K326" s="5" t="n">
        <f aca="false">INDEX(Parametros!$C$16:$C$18,MATCH($C326,Parametros!$A$16:$A$18,0))</f>
        <v>95</v>
      </c>
      <c r="L326" s="5" t="n">
        <f aca="false">I326*K326</f>
        <v>308.75</v>
      </c>
      <c r="M326" s="5" t="n">
        <v>170</v>
      </c>
      <c r="N326" s="5" t="n">
        <v>168</v>
      </c>
      <c r="O326" s="5" t="n">
        <f aca="false">M326-N326</f>
        <v>2</v>
      </c>
      <c r="P326" s="8" t="n">
        <f aca="false">IFERROR(I326/G326,0)</f>
        <v>0.928571428571429</v>
      </c>
      <c r="Q326" s="8" t="n">
        <f aca="false">IFERROR(M326/L326,0)</f>
        <v>0.550607287449393</v>
      </c>
      <c r="R326" s="8" t="n">
        <f aca="false">IFERROR(N326/M326,0)</f>
        <v>0.988235294117647</v>
      </c>
      <c r="S326" s="8" t="n">
        <f aca="false">P326*Q326*R326</f>
        <v>0.505263157894737</v>
      </c>
    </row>
    <row r="327" customFormat="false" ht="15" hidden="false" customHeight="false" outlineLevel="0" collapsed="false">
      <c r="A327" s="4" t="n">
        <v>46153</v>
      </c>
      <c r="B327" s="5" t="n">
        <f aca="false">MONTH($A327)</f>
        <v>5</v>
      </c>
      <c r="C327" s="5" t="n">
        <v>1</v>
      </c>
      <c r="D327" s="6" t="str">
        <f aca="false">INDEX(Parametros!$B$16:$B$18,MATCH($C327,Parametros!$A$16:$A$18,0))</f>
        <v>E1 - Lavado y sanitizado de bidones</v>
      </c>
      <c r="E327" s="7" t="n">
        <f aca="false">IF(WEEKDAY($A327,2)&lt;6,Parametros!$B$21,Parametros!$B$22)</f>
        <v>6</v>
      </c>
      <c r="F327" s="7" t="n">
        <v>0.5</v>
      </c>
      <c r="G327" s="7" t="n">
        <f aca="false">E327-F327</f>
        <v>5.5</v>
      </c>
      <c r="H327" s="7" t="n">
        <v>0</v>
      </c>
      <c r="I327" s="7" t="n">
        <f aca="false">G327-H327</f>
        <v>5.5</v>
      </c>
      <c r="J327" s="6" t="s">
        <v>27</v>
      </c>
      <c r="K327" s="5" t="n">
        <f aca="false">INDEX(Parametros!$C$16:$C$18,MATCH($C327,Parametros!$A$16:$A$18,0))</f>
        <v>100</v>
      </c>
      <c r="L327" s="5" t="n">
        <f aca="false">I327*K327</f>
        <v>550</v>
      </c>
      <c r="M327" s="5" t="n">
        <v>282</v>
      </c>
      <c r="N327" s="5" t="n">
        <v>278</v>
      </c>
      <c r="O327" s="5" t="n">
        <f aca="false">M327-N327</f>
        <v>4</v>
      </c>
      <c r="P327" s="8" t="n">
        <f aca="false">IFERROR(I327/G327,0)</f>
        <v>1</v>
      </c>
      <c r="Q327" s="8" t="n">
        <f aca="false">IFERROR(M327/L327,0)</f>
        <v>0.512727272727273</v>
      </c>
      <c r="R327" s="8" t="n">
        <f aca="false">IFERROR(N327/M327,0)</f>
        <v>0.985815602836879</v>
      </c>
      <c r="S327" s="8" t="n">
        <f aca="false">P327*Q327*R327</f>
        <v>0.505454545454545</v>
      </c>
    </row>
    <row r="328" customFormat="false" ht="15" hidden="false" customHeight="false" outlineLevel="0" collapsed="false">
      <c r="A328" s="4" t="n">
        <v>46153</v>
      </c>
      <c r="B328" s="5" t="n">
        <f aca="false">MONTH($A328)</f>
        <v>5</v>
      </c>
      <c r="C328" s="5" t="n">
        <v>2</v>
      </c>
      <c r="D328" s="6" t="str">
        <f aca="false">INDEX(Parametros!$B$16:$B$18,MATCH($C328,Parametros!$A$16:$A$18,0))</f>
        <v>E2 - Llenado y tapado</v>
      </c>
      <c r="E328" s="7" t="n">
        <f aca="false">IF(WEEKDAY($A328,2)&lt;6,Parametros!$B$21,Parametros!$B$22)</f>
        <v>6</v>
      </c>
      <c r="F328" s="7" t="n">
        <v>0.75</v>
      </c>
      <c r="G328" s="7" t="n">
        <f aca="false">E328-F328</f>
        <v>5.25</v>
      </c>
      <c r="H328" s="7" t="n">
        <v>0</v>
      </c>
      <c r="I328" s="7" t="n">
        <f aca="false">G328-H328</f>
        <v>5.25</v>
      </c>
      <c r="J328" s="6" t="s">
        <v>27</v>
      </c>
      <c r="K328" s="5" t="n">
        <f aca="false">INDEX(Parametros!$C$16:$C$18,MATCH($C328,Parametros!$A$16:$A$18,0))</f>
        <v>95</v>
      </c>
      <c r="L328" s="5" t="n">
        <f aca="false">I328*K328</f>
        <v>498.75</v>
      </c>
      <c r="M328" s="5" t="n">
        <v>278</v>
      </c>
      <c r="N328" s="5" t="n">
        <v>271</v>
      </c>
      <c r="O328" s="5" t="n">
        <f aca="false">M328-N328</f>
        <v>7</v>
      </c>
      <c r="P328" s="8" t="n">
        <f aca="false">IFERROR(I328/G328,0)</f>
        <v>1</v>
      </c>
      <c r="Q328" s="8" t="n">
        <f aca="false">IFERROR(M328/L328,0)</f>
        <v>0.557393483709273</v>
      </c>
      <c r="R328" s="8" t="n">
        <f aca="false">IFERROR(N328/M328,0)</f>
        <v>0.974820143884892</v>
      </c>
      <c r="S328" s="8" t="n">
        <f aca="false">P328*Q328*R328</f>
        <v>0.543358395989975</v>
      </c>
    </row>
    <row r="329" customFormat="false" ht="15" hidden="false" customHeight="false" outlineLevel="0" collapsed="false">
      <c r="A329" s="4" t="n">
        <v>46153</v>
      </c>
      <c r="B329" s="5" t="n">
        <f aca="false">MONTH($A329)</f>
        <v>5</v>
      </c>
      <c r="C329" s="5" t="n">
        <v>3</v>
      </c>
      <c r="D329" s="6" t="str">
        <f aca="false">INDEX(Parametros!$B$16:$B$18,MATCH($C329,Parametros!$A$16:$A$18,0))</f>
        <v>E3 - Sellado y etiquetado</v>
      </c>
      <c r="E329" s="7" t="n">
        <f aca="false">IF(WEEKDAY($A329,2)&lt;6,Parametros!$B$21,Parametros!$B$22)</f>
        <v>6</v>
      </c>
      <c r="F329" s="7" t="n">
        <v>0.25</v>
      </c>
      <c r="G329" s="7" t="n">
        <f aca="false">E329-F329</f>
        <v>5.75</v>
      </c>
      <c r="H329" s="7" t="n">
        <v>0.25</v>
      </c>
      <c r="I329" s="7" t="n">
        <f aca="false">G329-H329</f>
        <v>5.5</v>
      </c>
      <c r="J329" s="6" t="s">
        <v>25</v>
      </c>
      <c r="K329" s="5" t="n">
        <f aca="false">INDEX(Parametros!$C$16:$C$18,MATCH($C329,Parametros!$A$16:$A$18,0))</f>
        <v>95</v>
      </c>
      <c r="L329" s="5" t="n">
        <f aca="false">I329*K329</f>
        <v>522.5</v>
      </c>
      <c r="M329" s="5" t="n">
        <v>271</v>
      </c>
      <c r="N329" s="5" t="n">
        <v>268</v>
      </c>
      <c r="O329" s="5" t="n">
        <f aca="false">M329-N329</f>
        <v>3</v>
      </c>
      <c r="P329" s="8" t="n">
        <f aca="false">IFERROR(I329/G329,0)</f>
        <v>0.956521739130435</v>
      </c>
      <c r="Q329" s="8" t="n">
        <f aca="false">IFERROR(M329/L329,0)</f>
        <v>0.51866028708134</v>
      </c>
      <c r="R329" s="8" t="n">
        <f aca="false">IFERROR(N329/M329,0)</f>
        <v>0.988929889298893</v>
      </c>
      <c r="S329" s="8" t="n">
        <f aca="false">P329*Q329*R329</f>
        <v>0.490617848970252</v>
      </c>
    </row>
    <row r="330" customFormat="false" ht="15" hidden="false" customHeight="false" outlineLevel="0" collapsed="false">
      <c r="A330" s="4" t="n">
        <v>46154</v>
      </c>
      <c r="B330" s="5" t="n">
        <f aca="false">MONTH($A330)</f>
        <v>5</v>
      </c>
      <c r="C330" s="5" t="n">
        <v>1</v>
      </c>
      <c r="D330" s="6" t="str">
        <f aca="false">INDEX(Parametros!$B$16:$B$18,MATCH($C330,Parametros!$A$16:$A$18,0))</f>
        <v>E1 - Lavado y sanitizado de bidones</v>
      </c>
      <c r="E330" s="7" t="n">
        <f aca="false">IF(WEEKDAY($A330,2)&lt;6,Parametros!$B$21,Parametros!$B$22)</f>
        <v>6</v>
      </c>
      <c r="F330" s="7" t="n">
        <v>0.5</v>
      </c>
      <c r="G330" s="7" t="n">
        <f aca="false">E330-F330</f>
        <v>5.5</v>
      </c>
      <c r="H330" s="7" t="n">
        <v>0.5</v>
      </c>
      <c r="I330" s="7" t="n">
        <f aca="false">G330-H330</f>
        <v>5</v>
      </c>
      <c r="J330" s="6" t="s">
        <v>26</v>
      </c>
      <c r="K330" s="5" t="n">
        <f aca="false">INDEX(Parametros!$C$16:$C$18,MATCH($C330,Parametros!$A$16:$A$18,0))</f>
        <v>100</v>
      </c>
      <c r="L330" s="5" t="n">
        <f aca="false">I330*K330</f>
        <v>500</v>
      </c>
      <c r="M330" s="5" t="n">
        <v>295</v>
      </c>
      <c r="N330" s="5" t="n">
        <v>293</v>
      </c>
      <c r="O330" s="5" t="n">
        <f aca="false">M330-N330</f>
        <v>2</v>
      </c>
      <c r="P330" s="8" t="n">
        <f aca="false">IFERROR(I330/G330,0)</f>
        <v>0.909090909090909</v>
      </c>
      <c r="Q330" s="8" t="n">
        <f aca="false">IFERROR(M330/L330,0)</f>
        <v>0.59</v>
      </c>
      <c r="R330" s="8" t="n">
        <f aca="false">IFERROR(N330/M330,0)</f>
        <v>0.993220338983051</v>
      </c>
      <c r="S330" s="8" t="n">
        <f aca="false">P330*Q330*R330</f>
        <v>0.532727272727273</v>
      </c>
    </row>
    <row r="331" customFormat="false" ht="15" hidden="false" customHeight="false" outlineLevel="0" collapsed="false">
      <c r="A331" s="4" t="n">
        <v>46154</v>
      </c>
      <c r="B331" s="5" t="n">
        <f aca="false">MONTH($A331)</f>
        <v>5</v>
      </c>
      <c r="C331" s="5" t="n">
        <v>2</v>
      </c>
      <c r="D331" s="6" t="str">
        <f aca="false">INDEX(Parametros!$B$16:$B$18,MATCH($C331,Parametros!$A$16:$A$18,0))</f>
        <v>E2 - Llenado y tapado</v>
      </c>
      <c r="E331" s="7" t="n">
        <f aca="false">IF(WEEKDAY($A331,2)&lt;6,Parametros!$B$21,Parametros!$B$22)</f>
        <v>6</v>
      </c>
      <c r="F331" s="7" t="n">
        <v>1</v>
      </c>
      <c r="G331" s="7" t="n">
        <f aca="false">E331-F331</f>
        <v>5</v>
      </c>
      <c r="H331" s="7" t="n">
        <v>0.25</v>
      </c>
      <c r="I331" s="7" t="n">
        <f aca="false">G331-H331</f>
        <v>4.75</v>
      </c>
      <c r="J331" s="6" t="s">
        <v>28</v>
      </c>
      <c r="K331" s="5" t="n">
        <f aca="false">INDEX(Parametros!$C$16:$C$18,MATCH($C331,Parametros!$A$16:$A$18,0))</f>
        <v>95</v>
      </c>
      <c r="L331" s="5" t="n">
        <f aca="false">I331*K331</f>
        <v>451.25</v>
      </c>
      <c r="M331" s="5" t="n">
        <v>293</v>
      </c>
      <c r="N331" s="5" t="n">
        <v>289</v>
      </c>
      <c r="O331" s="5" t="n">
        <f aca="false">M331-N331</f>
        <v>4</v>
      </c>
      <c r="P331" s="8" t="n">
        <f aca="false">IFERROR(I331/G331,0)</f>
        <v>0.95</v>
      </c>
      <c r="Q331" s="8" t="n">
        <f aca="false">IFERROR(M331/L331,0)</f>
        <v>0.649307479224377</v>
      </c>
      <c r="R331" s="8" t="n">
        <f aca="false">IFERROR(N331/M331,0)</f>
        <v>0.986348122866894</v>
      </c>
      <c r="S331" s="8" t="n">
        <f aca="false">P331*Q331*R331</f>
        <v>0.608421052631579</v>
      </c>
    </row>
    <row r="332" customFormat="false" ht="15" hidden="false" customHeight="false" outlineLevel="0" collapsed="false">
      <c r="A332" s="4" t="n">
        <v>46154</v>
      </c>
      <c r="B332" s="5" t="n">
        <f aca="false">MONTH($A332)</f>
        <v>5</v>
      </c>
      <c r="C332" s="5" t="n">
        <v>3</v>
      </c>
      <c r="D332" s="6" t="str">
        <f aca="false">INDEX(Parametros!$B$16:$B$18,MATCH($C332,Parametros!$A$16:$A$18,0))</f>
        <v>E3 - Sellado y etiquetado</v>
      </c>
      <c r="E332" s="7" t="n">
        <f aca="false">IF(WEEKDAY($A332,2)&lt;6,Parametros!$B$21,Parametros!$B$22)</f>
        <v>6</v>
      </c>
      <c r="F332" s="7" t="n">
        <v>0.25</v>
      </c>
      <c r="G332" s="7" t="n">
        <f aca="false">E332-F332</f>
        <v>5.75</v>
      </c>
      <c r="H332" s="7" t="n">
        <v>0</v>
      </c>
      <c r="I332" s="7" t="n">
        <f aca="false">G332-H332</f>
        <v>5.75</v>
      </c>
      <c r="J332" s="6" t="s">
        <v>27</v>
      </c>
      <c r="K332" s="5" t="n">
        <f aca="false">INDEX(Parametros!$C$16:$C$18,MATCH($C332,Parametros!$A$16:$A$18,0))</f>
        <v>95</v>
      </c>
      <c r="L332" s="5" t="n">
        <f aca="false">I332*K332</f>
        <v>546.25</v>
      </c>
      <c r="M332" s="5" t="n">
        <v>289</v>
      </c>
      <c r="N332" s="5" t="n">
        <v>286</v>
      </c>
      <c r="O332" s="5" t="n">
        <f aca="false">M332-N332</f>
        <v>3</v>
      </c>
      <c r="P332" s="8" t="n">
        <f aca="false">IFERROR(I332/G332,0)</f>
        <v>1</v>
      </c>
      <c r="Q332" s="8" t="n">
        <f aca="false">IFERROR(M332/L332,0)</f>
        <v>0.529061784897025</v>
      </c>
      <c r="R332" s="8" t="n">
        <f aca="false">IFERROR(N332/M332,0)</f>
        <v>0.98961937716263</v>
      </c>
      <c r="S332" s="8" t="n">
        <f aca="false">P332*Q332*R332</f>
        <v>0.523569794050343</v>
      </c>
    </row>
    <row r="333" customFormat="false" ht="15" hidden="false" customHeight="false" outlineLevel="0" collapsed="false">
      <c r="A333" s="4" t="n">
        <v>46155</v>
      </c>
      <c r="B333" s="5" t="n">
        <f aca="false">MONTH($A333)</f>
        <v>5</v>
      </c>
      <c r="C333" s="5" t="n">
        <v>1</v>
      </c>
      <c r="D333" s="6" t="str">
        <f aca="false">INDEX(Parametros!$B$16:$B$18,MATCH($C333,Parametros!$A$16:$A$18,0))</f>
        <v>E1 - Lavado y sanitizado de bidones</v>
      </c>
      <c r="E333" s="7" t="n">
        <f aca="false">IF(WEEKDAY($A333,2)&lt;6,Parametros!$B$21,Parametros!$B$22)</f>
        <v>6</v>
      </c>
      <c r="F333" s="7" t="n">
        <v>0.5</v>
      </c>
      <c r="G333" s="7" t="n">
        <f aca="false">E333-F333</f>
        <v>5.5</v>
      </c>
      <c r="H333" s="7" t="n">
        <v>0.25</v>
      </c>
      <c r="I333" s="7" t="n">
        <f aca="false">G333-H333</f>
        <v>5.25</v>
      </c>
      <c r="J333" s="6" t="s">
        <v>30</v>
      </c>
      <c r="K333" s="5" t="n">
        <f aca="false">INDEX(Parametros!$C$16:$C$18,MATCH($C333,Parametros!$A$16:$A$18,0))</f>
        <v>100</v>
      </c>
      <c r="L333" s="5" t="n">
        <f aca="false">I333*K333</f>
        <v>525</v>
      </c>
      <c r="M333" s="5" t="n">
        <v>289</v>
      </c>
      <c r="N333" s="5" t="n">
        <v>285</v>
      </c>
      <c r="O333" s="5" t="n">
        <f aca="false">M333-N333</f>
        <v>4</v>
      </c>
      <c r="P333" s="8" t="n">
        <f aca="false">IFERROR(I333/G333,0)</f>
        <v>0.954545454545455</v>
      </c>
      <c r="Q333" s="8" t="n">
        <f aca="false">IFERROR(M333/L333,0)</f>
        <v>0.550476190476191</v>
      </c>
      <c r="R333" s="8" t="n">
        <f aca="false">IFERROR(N333/M333,0)</f>
        <v>0.986159169550173</v>
      </c>
      <c r="S333" s="8" t="n">
        <f aca="false">P333*Q333*R333</f>
        <v>0.518181818181818</v>
      </c>
    </row>
    <row r="334" customFormat="false" ht="15" hidden="false" customHeight="false" outlineLevel="0" collapsed="false">
      <c r="A334" s="4" t="n">
        <v>46155</v>
      </c>
      <c r="B334" s="5" t="n">
        <f aca="false">MONTH($A334)</f>
        <v>5</v>
      </c>
      <c r="C334" s="5" t="n">
        <v>2</v>
      </c>
      <c r="D334" s="6" t="str">
        <f aca="false">INDEX(Parametros!$B$16:$B$18,MATCH($C334,Parametros!$A$16:$A$18,0))</f>
        <v>E2 - Llenado y tapado</v>
      </c>
      <c r="E334" s="7" t="n">
        <f aca="false">IF(WEEKDAY($A334,2)&lt;6,Parametros!$B$21,Parametros!$B$22)</f>
        <v>6</v>
      </c>
      <c r="F334" s="7" t="n">
        <v>0.75</v>
      </c>
      <c r="G334" s="7" t="n">
        <f aca="false">E334-F334</f>
        <v>5.25</v>
      </c>
      <c r="H334" s="7" t="n">
        <v>0.5</v>
      </c>
      <c r="I334" s="7" t="n">
        <f aca="false">G334-H334</f>
        <v>4.75</v>
      </c>
      <c r="J334" s="6" t="s">
        <v>28</v>
      </c>
      <c r="K334" s="5" t="n">
        <f aca="false">INDEX(Parametros!$C$16:$C$18,MATCH($C334,Parametros!$A$16:$A$18,0))</f>
        <v>95</v>
      </c>
      <c r="L334" s="5" t="n">
        <f aca="false">I334*K334</f>
        <v>451.25</v>
      </c>
      <c r="M334" s="5" t="n">
        <v>285</v>
      </c>
      <c r="N334" s="5" t="n">
        <v>281</v>
      </c>
      <c r="O334" s="5" t="n">
        <f aca="false">M334-N334</f>
        <v>4</v>
      </c>
      <c r="P334" s="8" t="n">
        <f aca="false">IFERROR(I334/G334,0)</f>
        <v>0.904761904761905</v>
      </c>
      <c r="Q334" s="8" t="n">
        <f aca="false">IFERROR(M334/L334,0)</f>
        <v>0.631578947368421</v>
      </c>
      <c r="R334" s="8" t="n">
        <f aca="false">IFERROR(N334/M334,0)</f>
        <v>0.985964912280702</v>
      </c>
      <c r="S334" s="8" t="n">
        <f aca="false">P334*Q334*R334</f>
        <v>0.563408521303258</v>
      </c>
    </row>
    <row r="335" customFormat="false" ht="15" hidden="false" customHeight="false" outlineLevel="0" collapsed="false">
      <c r="A335" s="4" t="n">
        <v>46155</v>
      </c>
      <c r="B335" s="5" t="n">
        <f aca="false">MONTH($A335)</f>
        <v>5</v>
      </c>
      <c r="C335" s="5" t="n">
        <v>3</v>
      </c>
      <c r="D335" s="6" t="str">
        <f aca="false">INDEX(Parametros!$B$16:$B$18,MATCH($C335,Parametros!$A$16:$A$18,0))</f>
        <v>E3 - Sellado y etiquetado</v>
      </c>
      <c r="E335" s="7" t="n">
        <f aca="false">IF(WEEKDAY($A335,2)&lt;6,Parametros!$B$21,Parametros!$B$22)</f>
        <v>6</v>
      </c>
      <c r="F335" s="7" t="n">
        <v>0.25</v>
      </c>
      <c r="G335" s="7" t="n">
        <f aca="false">E335-F335</f>
        <v>5.75</v>
      </c>
      <c r="H335" s="7" t="n">
        <v>0</v>
      </c>
      <c r="I335" s="7" t="n">
        <f aca="false">G335-H335</f>
        <v>5.75</v>
      </c>
      <c r="J335" s="6" t="s">
        <v>27</v>
      </c>
      <c r="K335" s="5" t="n">
        <f aca="false">INDEX(Parametros!$C$16:$C$18,MATCH($C335,Parametros!$A$16:$A$18,0))</f>
        <v>95</v>
      </c>
      <c r="L335" s="5" t="n">
        <f aca="false">I335*K335</f>
        <v>546.25</v>
      </c>
      <c r="M335" s="5" t="n">
        <v>281</v>
      </c>
      <c r="N335" s="5" t="n">
        <v>279</v>
      </c>
      <c r="O335" s="5" t="n">
        <f aca="false">M335-N335</f>
        <v>2</v>
      </c>
      <c r="P335" s="8" t="n">
        <f aca="false">IFERROR(I335/G335,0)</f>
        <v>1</v>
      </c>
      <c r="Q335" s="8" t="n">
        <f aca="false">IFERROR(M335/L335,0)</f>
        <v>0.51441647597254</v>
      </c>
      <c r="R335" s="8" t="n">
        <f aca="false">IFERROR(N335/M335,0)</f>
        <v>0.99288256227758</v>
      </c>
      <c r="S335" s="8" t="n">
        <f aca="false">P335*Q335*R335</f>
        <v>0.510755148741419</v>
      </c>
    </row>
    <row r="336" customFormat="false" ht="15" hidden="false" customHeight="false" outlineLevel="0" collapsed="false">
      <c r="A336" s="4" t="n">
        <v>46156</v>
      </c>
      <c r="B336" s="5" t="n">
        <f aca="false">MONTH($A336)</f>
        <v>5</v>
      </c>
      <c r="C336" s="5" t="n">
        <v>1</v>
      </c>
      <c r="D336" s="6" t="str">
        <f aca="false">INDEX(Parametros!$B$16:$B$18,MATCH($C336,Parametros!$A$16:$A$18,0))</f>
        <v>E1 - Lavado y sanitizado de bidones</v>
      </c>
      <c r="E336" s="7" t="n">
        <f aca="false">IF(WEEKDAY($A336,2)&lt;6,Parametros!$B$21,Parametros!$B$22)</f>
        <v>6</v>
      </c>
      <c r="F336" s="7" t="n">
        <v>0.5</v>
      </c>
      <c r="G336" s="7" t="n">
        <f aca="false">E336-F336</f>
        <v>5.5</v>
      </c>
      <c r="H336" s="7" t="n">
        <v>0.25</v>
      </c>
      <c r="I336" s="7" t="n">
        <f aca="false">G336-H336</f>
        <v>5.25</v>
      </c>
      <c r="J336" s="6" t="s">
        <v>24</v>
      </c>
      <c r="K336" s="5" t="n">
        <f aca="false">INDEX(Parametros!$C$16:$C$18,MATCH($C336,Parametros!$A$16:$A$18,0))</f>
        <v>100</v>
      </c>
      <c r="L336" s="5" t="n">
        <f aca="false">I336*K336</f>
        <v>525</v>
      </c>
      <c r="M336" s="5" t="n">
        <v>290</v>
      </c>
      <c r="N336" s="5" t="n">
        <v>287</v>
      </c>
      <c r="O336" s="5" t="n">
        <f aca="false">M336-N336</f>
        <v>3</v>
      </c>
      <c r="P336" s="8" t="n">
        <f aca="false">IFERROR(I336/G336,0)</f>
        <v>0.954545454545455</v>
      </c>
      <c r="Q336" s="8" t="n">
        <f aca="false">IFERROR(M336/L336,0)</f>
        <v>0.552380952380952</v>
      </c>
      <c r="R336" s="8" t="n">
        <f aca="false">IFERROR(N336/M336,0)</f>
        <v>0.989655172413793</v>
      </c>
      <c r="S336" s="8" t="n">
        <f aca="false">P336*Q336*R336</f>
        <v>0.521818181818182</v>
      </c>
    </row>
    <row r="337" customFormat="false" ht="15" hidden="false" customHeight="false" outlineLevel="0" collapsed="false">
      <c r="A337" s="4" t="n">
        <v>46156</v>
      </c>
      <c r="B337" s="5" t="n">
        <f aca="false">MONTH($A337)</f>
        <v>5</v>
      </c>
      <c r="C337" s="5" t="n">
        <v>2</v>
      </c>
      <c r="D337" s="6" t="str">
        <f aca="false">INDEX(Parametros!$B$16:$B$18,MATCH($C337,Parametros!$A$16:$A$18,0))</f>
        <v>E2 - Llenado y tapado</v>
      </c>
      <c r="E337" s="7" t="n">
        <f aca="false">IF(WEEKDAY($A337,2)&lt;6,Parametros!$B$21,Parametros!$B$22)</f>
        <v>6</v>
      </c>
      <c r="F337" s="7" t="n">
        <v>0.75</v>
      </c>
      <c r="G337" s="7" t="n">
        <f aca="false">E337-F337</f>
        <v>5.25</v>
      </c>
      <c r="H337" s="7" t="n">
        <v>1</v>
      </c>
      <c r="I337" s="7" t="n">
        <f aca="false">G337-H337</f>
        <v>4.25</v>
      </c>
      <c r="J337" s="6" t="s">
        <v>28</v>
      </c>
      <c r="K337" s="5" t="n">
        <f aca="false">INDEX(Parametros!$C$16:$C$18,MATCH($C337,Parametros!$A$16:$A$18,0))</f>
        <v>95</v>
      </c>
      <c r="L337" s="5" t="n">
        <f aca="false">I337*K337</f>
        <v>403.75</v>
      </c>
      <c r="M337" s="5" t="n">
        <v>287</v>
      </c>
      <c r="N337" s="5" t="n">
        <v>278</v>
      </c>
      <c r="O337" s="5" t="n">
        <f aca="false">M337-N337</f>
        <v>9</v>
      </c>
      <c r="P337" s="8" t="n">
        <f aca="false">IFERROR(I337/G337,0)</f>
        <v>0.80952380952381</v>
      </c>
      <c r="Q337" s="8" t="n">
        <f aca="false">IFERROR(M337/L337,0)</f>
        <v>0.710835913312694</v>
      </c>
      <c r="R337" s="8" t="n">
        <f aca="false">IFERROR(N337/M337,0)</f>
        <v>0.968641114982578</v>
      </c>
      <c r="S337" s="8" t="n">
        <f aca="false">P337*Q337*R337</f>
        <v>0.557393483709273</v>
      </c>
    </row>
    <row r="338" customFormat="false" ht="15" hidden="false" customHeight="false" outlineLevel="0" collapsed="false">
      <c r="A338" s="4" t="n">
        <v>46156</v>
      </c>
      <c r="B338" s="5" t="n">
        <f aca="false">MONTH($A338)</f>
        <v>5</v>
      </c>
      <c r="C338" s="5" t="n">
        <v>3</v>
      </c>
      <c r="D338" s="6" t="str">
        <f aca="false">INDEX(Parametros!$B$16:$B$18,MATCH($C338,Parametros!$A$16:$A$18,0))</f>
        <v>E3 - Sellado y etiquetado</v>
      </c>
      <c r="E338" s="7" t="n">
        <f aca="false">IF(WEEKDAY($A338,2)&lt;6,Parametros!$B$21,Parametros!$B$22)</f>
        <v>6</v>
      </c>
      <c r="F338" s="7" t="n">
        <v>0.25</v>
      </c>
      <c r="G338" s="7" t="n">
        <f aca="false">E338-F338</f>
        <v>5.75</v>
      </c>
      <c r="H338" s="7" t="n">
        <v>0.25</v>
      </c>
      <c r="I338" s="7" t="n">
        <f aca="false">G338-H338</f>
        <v>5.5</v>
      </c>
      <c r="J338" s="6" t="s">
        <v>23</v>
      </c>
      <c r="K338" s="5" t="n">
        <f aca="false">INDEX(Parametros!$C$16:$C$18,MATCH($C338,Parametros!$A$16:$A$18,0))</f>
        <v>95</v>
      </c>
      <c r="L338" s="5" t="n">
        <f aca="false">I338*K338</f>
        <v>522.5</v>
      </c>
      <c r="M338" s="5" t="n">
        <v>278</v>
      </c>
      <c r="N338" s="5" t="n">
        <v>277</v>
      </c>
      <c r="O338" s="5" t="n">
        <f aca="false">M338-N338</f>
        <v>1</v>
      </c>
      <c r="P338" s="8" t="n">
        <f aca="false">IFERROR(I338/G338,0)</f>
        <v>0.956521739130435</v>
      </c>
      <c r="Q338" s="8" t="n">
        <f aca="false">IFERROR(M338/L338,0)</f>
        <v>0.532057416267943</v>
      </c>
      <c r="R338" s="8" t="n">
        <f aca="false">IFERROR(N338/M338,0)</f>
        <v>0.996402877697842</v>
      </c>
      <c r="S338" s="8" t="n">
        <f aca="false">P338*Q338*R338</f>
        <v>0.507093821510298</v>
      </c>
    </row>
    <row r="339" customFormat="false" ht="15" hidden="false" customHeight="false" outlineLevel="0" collapsed="false">
      <c r="A339" s="4" t="n">
        <v>46157</v>
      </c>
      <c r="B339" s="5" t="n">
        <f aca="false">MONTH($A339)</f>
        <v>5</v>
      </c>
      <c r="C339" s="5" t="n">
        <v>1</v>
      </c>
      <c r="D339" s="6" t="str">
        <f aca="false">INDEX(Parametros!$B$16:$B$18,MATCH($C339,Parametros!$A$16:$A$18,0))</f>
        <v>E1 - Lavado y sanitizado de bidones</v>
      </c>
      <c r="E339" s="7" t="n">
        <f aca="false">IF(WEEKDAY($A339,2)&lt;6,Parametros!$B$21,Parametros!$B$22)</f>
        <v>6</v>
      </c>
      <c r="F339" s="7" t="n">
        <v>0.5</v>
      </c>
      <c r="G339" s="7" t="n">
        <f aca="false">E339-F339</f>
        <v>5.5</v>
      </c>
      <c r="H339" s="7" t="n">
        <v>0.5</v>
      </c>
      <c r="I339" s="7" t="n">
        <f aca="false">G339-H339</f>
        <v>5</v>
      </c>
      <c r="J339" s="6" t="s">
        <v>24</v>
      </c>
      <c r="K339" s="5" t="n">
        <f aca="false">INDEX(Parametros!$C$16:$C$18,MATCH($C339,Parametros!$A$16:$A$18,0))</f>
        <v>100</v>
      </c>
      <c r="L339" s="5" t="n">
        <f aca="false">I339*K339</f>
        <v>500</v>
      </c>
      <c r="M339" s="5" t="n">
        <v>273</v>
      </c>
      <c r="N339" s="5" t="n">
        <v>270</v>
      </c>
      <c r="O339" s="5" t="n">
        <f aca="false">M339-N339</f>
        <v>3</v>
      </c>
      <c r="P339" s="8" t="n">
        <f aca="false">IFERROR(I339/G339,0)</f>
        <v>0.909090909090909</v>
      </c>
      <c r="Q339" s="8" t="n">
        <f aca="false">IFERROR(M339/L339,0)</f>
        <v>0.546</v>
      </c>
      <c r="R339" s="8" t="n">
        <f aca="false">IFERROR(N339/M339,0)</f>
        <v>0.989010989010989</v>
      </c>
      <c r="S339" s="8" t="n">
        <f aca="false">P339*Q339*R339</f>
        <v>0.490909090909091</v>
      </c>
    </row>
    <row r="340" customFormat="false" ht="15" hidden="false" customHeight="false" outlineLevel="0" collapsed="false">
      <c r="A340" s="4" t="n">
        <v>46157</v>
      </c>
      <c r="B340" s="5" t="n">
        <f aca="false">MONTH($A340)</f>
        <v>5</v>
      </c>
      <c r="C340" s="5" t="n">
        <v>2</v>
      </c>
      <c r="D340" s="6" t="str">
        <f aca="false">INDEX(Parametros!$B$16:$B$18,MATCH($C340,Parametros!$A$16:$A$18,0))</f>
        <v>E2 - Llenado y tapado</v>
      </c>
      <c r="E340" s="7" t="n">
        <f aca="false">IF(WEEKDAY($A340,2)&lt;6,Parametros!$B$21,Parametros!$B$22)</f>
        <v>6</v>
      </c>
      <c r="F340" s="7" t="n">
        <v>0.75</v>
      </c>
      <c r="G340" s="7" t="n">
        <f aca="false">E340-F340</f>
        <v>5.25</v>
      </c>
      <c r="H340" s="7" t="n">
        <v>0</v>
      </c>
      <c r="I340" s="7" t="n">
        <f aca="false">G340-H340</f>
        <v>5.25</v>
      </c>
      <c r="J340" s="6" t="s">
        <v>27</v>
      </c>
      <c r="K340" s="5" t="n">
        <f aca="false">INDEX(Parametros!$C$16:$C$18,MATCH($C340,Parametros!$A$16:$A$18,0))</f>
        <v>95</v>
      </c>
      <c r="L340" s="5" t="n">
        <f aca="false">I340*K340</f>
        <v>498.75</v>
      </c>
      <c r="M340" s="5" t="n">
        <v>270</v>
      </c>
      <c r="N340" s="5" t="n">
        <v>267</v>
      </c>
      <c r="O340" s="5" t="n">
        <f aca="false">M340-N340</f>
        <v>3</v>
      </c>
      <c r="P340" s="8" t="n">
        <f aca="false">IFERROR(I340/G340,0)</f>
        <v>1</v>
      </c>
      <c r="Q340" s="8" t="n">
        <f aca="false">IFERROR(M340/L340,0)</f>
        <v>0.541353383458647</v>
      </c>
      <c r="R340" s="8" t="n">
        <f aca="false">IFERROR(N340/M340,0)</f>
        <v>0.988888888888889</v>
      </c>
      <c r="S340" s="8" t="n">
        <f aca="false">P340*Q340*R340</f>
        <v>0.535338345864662</v>
      </c>
    </row>
    <row r="341" customFormat="false" ht="15" hidden="false" customHeight="false" outlineLevel="0" collapsed="false">
      <c r="A341" s="4" t="n">
        <v>46157</v>
      </c>
      <c r="B341" s="5" t="n">
        <f aca="false">MONTH($A341)</f>
        <v>5</v>
      </c>
      <c r="C341" s="5" t="n">
        <v>3</v>
      </c>
      <c r="D341" s="6" t="str">
        <f aca="false">INDEX(Parametros!$B$16:$B$18,MATCH($C341,Parametros!$A$16:$A$18,0))</f>
        <v>E3 - Sellado y etiquetado</v>
      </c>
      <c r="E341" s="7" t="n">
        <f aca="false">IF(WEEKDAY($A341,2)&lt;6,Parametros!$B$21,Parametros!$B$22)</f>
        <v>6</v>
      </c>
      <c r="F341" s="7" t="n">
        <v>0.25</v>
      </c>
      <c r="G341" s="7" t="n">
        <f aca="false">E341-F341</f>
        <v>5.75</v>
      </c>
      <c r="H341" s="7" t="n">
        <v>0.5</v>
      </c>
      <c r="I341" s="7" t="n">
        <f aca="false">G341-H341</f>
        <v>5.25</v>
      </c>
      <c r="J341" s="6" t="s">
        <v>23</v>
      </c>
      <c r="K341" s="5" t="n">
        <f aca="false">INDEX(Parametros!$C$16:$C$18,MATCH($C341,Parametros!$A$16:$A$18,0))</f>
        <v>95</v>
      </c>
      <c r="L341" s="5" t="n">
        <f aca="false">I341*K341</f>
        <v>498.75</v>
      </c>
      <c r="M341" s="5" t="n">
        <v>267</v>
      </c>
      <c r="N341" s="5" t="n">
        <v>263</v>
      </c>
      <c r="O341" s="5" t="n">
        <f aca="false">M341-N341</f>
        <v>4</v>
      </c>
      <c r="P341" s="8" t="n">
        <f aca="false">IFERROR(I341/G341,0)</f>
        <v>0.91304347826087</v>
      </c>
      <c r="Q341" s="8" t="n">
        <f aca="false">IFERROR(M341/L341,0)</f>
        <v>0.535338345864662</v>
      </c>
      <c r="R341" s="8" t="n">
        <f aca="false">IFERROR(N341/M341,0)</f>
        <v>0.98501872659176</v>
      </c>
      <c r="S341" s="8" t="n">
        <f aca="false">P341*Q341*R341</f>
        <v>0.481464530892449</v>
      </c>
    </row>
    <row r="342" customFormat="false" ht="15" hidden="false" customHeight="false" outlineLevel="0" collapsed="false">
      <c r="A342" s="4" t="n">
        <v>46158</v>
      </c>
      <c r="B342" s="5" t="n">
        <f aca="false">MONTH($A342)</f>
        <v>5</v>
      </c>
      <c r="C342" s="5" t="n">
        <v>1</v>
      </c>
      <c r="D342" s="6" t="str">
        <f aca="false">INDEX(Parametros!$B$16:$B$18,MATCH($C342,Parametros!$A$16:$A$18,0))</f>
        <v>E1 - Lavado y sanitizado de bidones</v>
      </c>
      <c r="E342" s="7" t="n">
        <f aca="false">IF(WEEKDAY($A342,2)&lt;6,Parametros!$B$21,Parametros!$B$22)</f>
        <v>4</v>
      </c>
      <c r="F342" s="7" t="n">
        <v>0.75</v>
      </c>
      <c r="G342" s="7" t="n">
        <f aca="false">E342-F342</f>
        <v>3.25</v>
      </c>
      <c r="H342" s="7" t="n">
        <v>0.75</v>
      </c>
      <c r="I342" s="7" t="n">
        <f aca="false">G342-H342</f>
        <v>2.5</v>
      </c>
      <c r="J342" s="6" t="s">
        <v>22</v>
      </c>
      <c r="K342" s="5" t="n">
        <f aca="false">INDEX(Parametros!$C$16:$C$18,MATCH($C342,Parametros!$A$16:$A$18,0))</f>
        <v>100</v>
      </c>
      <c r="L342" s="5" t="n">
        <f aca="false">I342*K342</f>
        <v>250</v>
      </c>
      <c r="M342" s="5" t="n">
        <v>192</v>
      </c>
      <c r="N342" s="5" t="n">
        <v>190</v>
      </c>
      <c r="O342" s="5" t="n">
        <f aca="false">M342-N342</f>
        <v>2</v>
      </c>
      <c r="P342" s="8" t="n">
        <f aca="false">IFERROR(I342/G342,0)</f>
        <v>0.769230769230769</v>
      </c>
      <c r="Q342" s="8" t="n">
        <f aca="false">IFERROR(M342/L342,0)</f>
        <v>0.768</v>
      </c>
      <c r="R342" s="8" t="n">
        <f aca="false">IFERROR(N342/M342,0)</f>
        <v>0.989583333333333</v>
      </c>
      <c r="S342" s="8" t="n">
        <f aca="false">P342*Q342*R342</f>
        <v>0.584615384615385</v>
      </c>
    </row>
    <row r="343" customFormat="false" ht="15" hidden="false" customHeight="false" outlineLevel="0" collapsed="false">
      <c r="A343" s="4" t="n">
        <v>46158</v>
      </c>
      <c r="B343" s="5" t="n">
        <f aca="false">MONTH($A343)</f>
        <v>5</v>
      </c>
      <c r="C343" s="5" t="n">
        <v>2</v>
      </c>
      <c r="D343" s="6" t="str">
        <f aca="false">INDEX(Parametros!$B$16:$B$18,MATCH($C343,Parametros!$A$16:$A$18,0))</f>
        <v>E2 - Llenado y tapado</v>
      </c>
      <c r="E343" s="7" t="n">
        <f aca="false">IF(WEEKDAY($A343,2)&lt;6,Parametros!$B$21,Parametros!$B$22)</f>
        <v>4</v>
      </c>
      <c r="F343" s="7" t="n">
        <v>1</v>
      </c>
      <c r="G343" s="7" t="n">
        <f aca="false">E343-F343</f>
        <v>3</v>
      </c>
      <c r="H343" s="7" t="n">
        <v>0.5</v>
      </c>
      <c r="I343" s="7" t="n">
        <f aca="false">G343-H343</f>
        <v>2.5</v>
      </c>
      <c r="J343" s="6" t="s">
        <v>28</v>
      </c>
      <c r="K343" s="5" t="n">
        <f aca="false">INDEX(Parametros!$C$16:$C$18,MATCH($C343,Parametros!$A$16:$A$18,0))</f>
        <v>95</v>
      </c>
      <c r="L343" s="5" t="n">
        <f aca="false">I343*K343</f>
        <v>237.5</v>
      </c>
      <c r="M343" s="5" t="n">
        <v>190</v>
      </c>
      <c r="N343" s="5" t="n">
        <v>185</v>
      </c>
      <c r="O343" s="5" t="n">
        <f aca="false">M343-N343</f>
        <v>5</v>
      </c>
      <c r="P343" s="8" t="n">
        <f aca="false">IFERROR(I343/G343,0)</f>
        <v>0.833333333333333</v>
      </c>
      <c r="Q343" s="8" t="n">
        <f aca="false">IFERROR(M343/L343,0)</f>
        <v>0.8</v>
      </c>
      <c r="R343" s="8" t="n">
        <f aca="false">IFERROR(N343/M343,0)</f>
        <v>0.973684210526316</v>
      </c>
      <c r="S343" s="8" t="n">
        <f aca="false">P343*Q343*R343</f>
        <v>0.649122807017544</v>
      </c>
    </row>
    <row r="344" customFormat="false" ht="15" hidden="false" customHeight="false" outlineLevel="0" collapsed="false">
      <c r="A344" s="4" t="n">
        <v>46158</v>
      </c>
      <c r="B344" s="5" t="n">
        <f aca="false">MONTH($A344)</f>
        <v>5</v>
      </c>
      <c r="C344" s="5" t="n">
        <v>3</v>
      </c>
      <c r="D344" s="6" t="str">
        <f aca="false">INDEX(Parametros!$B$16:$B$18,MATCH($C344,Parametros!$A$16:$A$18,0))</f>
        <v>E3 - Sellado y etiquetado</v>
      </c>
      <c r="E344" s="7" t="n">
        <f aca="false">IF(WEEKDAY($A344,2)&lt;6,Parametros!$B$21,Parametros!$B$22)</f>
        <v>4</v>
      </c>
      <c r="F344" s="7" t="n">
        <v>0.5</v>
      </c>
      <c r="G344" s="7" t="n">
        <f aca="false">E344-F344</f>
        <v>3.5</v>
      </c>
      <c r="H344" s="7" t="n">
        <v>0</v>
      </c>
      <c r="I344" s="7" t="n">
        <f aca="false">G344-H344</f>
        <v>3.5</v>
      </c>
      <c r="J344" s="6" t="s">
        <v>27</v>
      </c>
      <c r="K344" s="5" t="n">
        <f aca="false">INDEX(Parametros!$C$16:$C$18,MATCH($C344,Parametros!$A$16:$A$18,0))</f>
        <v>95</v>
      </c>
      <c r="L344" s="5" t="n">
        <f aca="false">I344*K344</f>
        <v>332.5</v>
      </c>
      <c r="M344" s="5" t="n">
        <v>185</v>
      </c>
      <c r="N344" s="5" t="n">
        <v>182</v>
      </c>
      <c r="O344" s="5" t="n">
        <f aca="false">M344-N344</f>
        <v>3</v>
      </c>
      <c r="P344" s="8" t="n">
        <f aca="false">IFERROR(I344/G344,0)</f>
        <v>1</v>
      </c>
      <c r="Q344" s="8" t="n">
        <f aca="false">IFERROR(M344/L344,0)</f>
        <v>0.556390977443609</v>
      </c>
      <c r="R344" s="8" t="n">
        <f aca="false">IFERROR(N344/M344,0)</f>
        <v>0.983783783783784</v>
      </c>
      <c r="S344" s="8" t="n">
        <f aca="false">P344*Q344*R344</f>
        <v>0.547368421052632</v>
      </c>
    </row>
    <row r="345" customFormat="false" ht="15" hidden="false" customHeight="false" outlineLevel="0" collapsed="false">
      <c r="A345" s="4" t="n">
        <v>46160</v>
      </c>
      <c r="B345" s="5" t="n">
        <f aca="false">MONTH($A345)</f>
        <v>5</v>
      </c>
      <c r="C345" s="5" t="n">
        <v>1</v>
      </c>
      <c r="D345" s="6" t="str">
        <f aca="false">INDEX(Parametros!$B$16:$B$18,MATCH($C345,Parametros!$A$16:$A$18,0))</f>
        <v>E1 - Lavado y sanitizado de bidones</v>
      </c>
      <c r="E345" s="7" t="n">
        <f aca="false">IF(WEEKDAY($A345,2)&lt;6,Parametros!$B$21,Parametros!$B$22)</f>
        <v>6</v>
      </c>
      <c r="F345" s="7" t="n">
        <v>0.75</v>
      </c>
      <c r="G345" s="7" t="n">
        <f aca="false">E345-F345</f>
        <v>5.25</v>
      </c>
      <c r="H345" s="7" t="n">
        <v>1.25</v>
      </c>
      <c r="I345" s="7" t="n">
        <f aca="false">G345-H345</f>
        <v>4</v>
      </c>
      <c r="J345" s="6" t="s">
        <v>29</v>
      </c>
      <c r="K345" s="5" t="n">
        <f aca="false">INDEX(Parametros!$C$16:$C$18,MATCH($C345,Parametros!$A$16:$A$18,0))</f>
        <v>100</v>
      </c>
      <c r="L345" s="5" t="n">
        <f aca="false">I345*K345</f>
        <v>400</v>
      </c>
      <c r="M345" s="5" t="n">
        <v>276</v>
      </c>
      <c r="N345" s="5" t="n">
        <v>272</v>
      </c>
      <c r="O345" s="5" t="n">
        <f aca="false">M345-N345</f>
        <v>4</v>
      </c>
      <c r="P345" s="8" t="n">
        <f aca="false">IFERROR(I345/G345,0)</f>
        <v>0.761904761904762</v>
      </c>
      <c r="Q345" s="8" t="n">
        <f aca="false">IFERROR(M345/L345,0)</f>
        <v>0.69</v>
      </c>
      <c r="R345" s="8" t="n">
        <f aca="false">IFERROR(N345/M345,0)</f>
        <v>0.985507246376812</v>
      </c>
      <c r="S345" s="8" t="n">
        <f aca="false">P345*Q345*R345</f>
        <v>0.518095238095238</v>
      </c>
    </row>
    <row r="346" customFormat="false" ht="15" hidden="false" customHeight="false" outlineLevel="0" collapsed="false">
      <c r="A346" s="4" t="n">
        <v>46160</v>
      </c>
      <c r="B346" s="5" t="n">
        <f aca="false">MONTH($A346)</f>
        <v>5</v>
      </c>
      <c r="C346" s="5" t="n">
        <v>2</v>
      </c>
      <c r="D346" s="6" t="str">
        <f aca="false">INDEX(Parametros!$B$16:$B$18,MATCH($C346,Parametros!$A$16:$A$18,0))</f>
        <v>E2 - Llenado y tapado</v>
      </c>
      <c r="E346" s="7" t="n">
        <f aca="false">IF(WEEKDAY($A346,2)&lt;6,Parametros!$B$21,Parametros!$B$22)</f>
        <v>6</v>
      </c>
      <c r="F346" s="7" t="n">
        <v>0.75</v>
      </c>
      <c r="G346" s="7" t="n">
        <f aca="false">E346-F346</f>
        <v>5.25</v>
      </c>
      <c r="H346" s="7" t="n">
        <v>1.5</v>
      </c>
      <c r="I346" s="7" t="n">
        <f aca="false">G346-H346</f>
        <v>3.75</v>
      </c>
      <c r="J346" s="6" t="s">
        <v>28</v>
      </c>
      <c r="K346" s="5" t="n">
        <f aca="false">INDEX(Parametros!$C$16:$C$18,MATCH($C346,Parametros!$A$16:$A$18,0))</f>
        <v>95</v>
      </c>
      <c r="L346" s="5" t="n">
        <f aca="false">I346*K346</f>
        <v>356.25</v>
      </c>
      <c r="M346" s="5" t="n">
        <v>272</v>
      </c>
      <c r="N346" s="5" t="n">
        <v>267</v>
      </c>
      <c r="O346" s="5" t="n">
        <f aca="false">M346-N346</f>
        <v>5</v>
      </c>
      <c r="P346" s="8" t="n">
        <f aca="false">IFERROR(I346/G346,0)</f>
        <v>0.714285714285714</v>
      </c>
      <c r="Q346" s="8" t="n">
        <f aca="false">IFERROR(M346/L346,0)</f>
        <v>0.763508771929825</v>
      </c>
      <c r="R346" s="8" t="n">
        <f aca="false">IFERROR(N346/M346,0)</f>
        <v>0.981617647058824</v>
      </c>
      <c r="S346" s="8" t="n">
        <f aca="false">P346*Q346*R346</f>
        <v>0.535338345864662</v>
      </c>
    </row>
    <row r="347" customFormat="false" ht="15" hidden="false" customHeight="false" outlineLevel="0" collapsed="false">
      <c r="A347" s="4" t="n">
        <v>46160</v>
      </c>
      <c r="B347" s="5" t="n">
        <f aca="false">MONTH($A347)</f>
        <v>5</v>
      </c>
      <c r="C347" s="5" t="n">
        <v>3</v>
      </c>
      <c r="D347" s="6" t="str">
        <f aca="false">INDEX(Parametros!$B$16:$B$18,MATCH($C347,Parametros!$A$16:$A$18,0))</f>
        <v>E3 - Sellado y etiquetado</v>
      </c>
      <c r="E347" s="7" t="n">
        <f aca="false">IF(WEEKDAY($A347,2)&lt;6,Parametros!$B$21,Parametros!$B$22)</f>
        <v>6</v>
      </c>
      <c r="F347" s="7" t="n">
        <v>0.25</v>
      </c>
      <c r="G347" s="7" t="n">
        <f aca="false">E347-F347</f>
        <v>5.75</v>
      </c>
      <c r="H347" s="7" t="n">
        <v>1.75</v>
      </c>
      <c r="I347" s="7" t="n">
        <f aca="false">G347-H347</f>
        <v>4</v>
      </c>
      <c r="J347" s="6" t="s">
        <v>30</v>
      </c>
      <c r="K347" s="5" t="n">
        <f aca="false">INDEX(Parametros!$C$16:$C$18,MATCH($C347,Parametros!$A$16:$A$18,0))</f>
        <v>95</v>
      </c>
      <c r="L347" s="5" t="n">
        <f aca="false">I347*K347</f>
        <v>380</v>
      </c>
      <c r="M347" s="5" t="n">
        <v>267</v>
      </c>
      <c r="N347" s="5" t="n">
        <v>265</v>
      </c>
      <c r="O347" s="5" t="n">
        <f aca="false">M347-N347</f>
        <v>2</v>
      </c>
      <c r="P347" s="8" t="n">
        <f aca="false">IFERROR(I347/G347,0)</f>
        <v>0.695652173913044</v>
      </c>
      <c r="Q347" s="8" t="n">
        <f aca="false">IFERROR(M347/L347,0)</f>
        <v>0.702631578947368</v>
      </c>
      <c r="R347" s="8" t="n">
        <f aca="false">IFERROR(N347/M347,0)</f>
        <v>0.99250936329588</v>
      </c>
      <c r="S347" s="8" t="n">
        <f aca="false">P347*Q347*R347</f>
        <v>0.48512585812357</v>
      </c>
    </row>
    <row r="348" customFormat="false" ht="15" hidden="false" customHeight="false" outlineLevel="0" collapsed="false">
      <c r="A348" s="4" t="n">
        <v>46161</v>
      </c>
      <c r="B348" s="5" t="n">
        <f aca="false">MONTH($A348)</f>
        <v>5</v>
      </c>
      <c r="C348" s="5" t="n">
        <v>1</v>
      </c>
      <c r="D348" s="6" t="str">
        <f aca="false">INDEX(Parametros!$B$16:$B$18,MATCH($C348,Parametros!$A$16:$A$18,0))</f>
        <v>E1 - Lavado y sanitizado de bidones</v>
      </c>
      <c r="E348" s="7" t="n">
        <f aca="false">IF(WEEKDAY($A348,2)&lt;6,Parametros!$B$21,Parametros!$B$22)</f>
        <v>6</v>
      </c>
      <c r="F348" s="7" t="n">
        <v>0.5</v>
      </c>
      <c r="G348" s="7" t="n">
        <f aca="false">E348-F348</f>
        <v>5.5</v>
      </c>
      <c r="H348" s="7" t="n">
        <v>0</v>
      </c>
      <c r="I348" s="7" t="n">
        <f aca="false">G348-H348</f>
        <v>5.5</v>
      </c>
      <c r="J348" s="6" t="s">
        <v>27</v>
      </c>
      <c r="K348" s="5" t="n">
        <f aca="false">INDEX(Parametros!$C$16:$C$18,MATCH($C348,Parametros!$A$16:$A$18,0))</f>
        <v>100</v>
      </c>
      <c r="L348" s="5" t="n">
        <f aca="false">I348*K348</f>
        <v>550</v>
      </c>
      <c r="M348" s="5" t="n">
        <v>277</v>
      </c>
      <c r="N348" s="5" t="n">
        <v>273</v>
      </c>
      <c r="O348" s="5" t="n">
        <f aca="false">M348-N348</f>
        <v>4</v>
      </c>
      <c r="P348" s="8" t="n">
        <f aca="false">IFERROR(I348/G348,0)</f>
        <v>1</v>
      </c>
      <c r="Q348" s="8" t="n">
        <f aca="false">IFERROR(M348/L348,0)</f>
        <v>0.503636363636364</v>
      </c>
      <c r="R348" s="8" t="n">
        <f aca="false">IFERROR(N348/M348,0)</f>
        <v>0.985559566787004</v>
      </c>
      <c r="S348" s="8" t="n">
        <f aca="false">P348*Q348*R348</f>
        <v>0.496363636363636</v>
      </c>
    </row>
    <row r="349" customFormat="false" ht="15" hidden="false" customHeight="false" outlineLevel="0" collapsed="false">
      <c r="A349" s="4" t="n">
        <v>46161</v>
      </c>
      <c r="B349" s="5" t="n">
        <f aca="false">MONTH($A349)</f>
        <v>5</v>
      </c>
      <c r="C349" s="5" t="n">
        <v>2</v>
      </c>
      <c r="D349" s="6" t="str">
        <f aca="false">INDEX(Parametros!$B$16:$B$18,MATCH($C349,Parametros!$A$16:$A$18,0))</f>
        <v>E2 - Llenado y tapado</v>
      </c>
      <c r="E349" s="7" t="n">
        <f aca="false">IF(WEEKDAY($A349,2)&lt;6,Parametros!$B$21,Parametros!$B$22)</f>
        <v>6</v>
      </c>
      <c r="F349" s="7" t="n">
        <v>0.75</v>
      </c>
      <c r="G349" s="7" t="n">
        <f aca="false">E349-F349</f>
        <v>5.25</v>
      </c>
      <c r="H349" s="7" t="n">
        <v>0</v>
      </c>
      <c r="I349" s="7" t="n">
        <f aca="false">G349-H349</f>
        <v>5.25</v>
      </c>
      <c r="J349" s="6" t="s">
        <v>27</v>
      </c>
      <c r="K349" s="5" t="n">
        <f aca="false">INDEX(Parametros!$C$16:$C$18,MATCH($C349,Parametros!$A$16:$A$18,0))</f>
        <v>95</v>
      </c>
      <c r="L349" s="5" t="n">
        <f aca="false">I349*K349</f>
        <v>498.75</v>
      </c>
      <c r="M349" s="5" t="n">
        <v>273</v>
      </c>
      <c r="N349" s="5" t="n">
        <v>268</v>
      </c>
      <c r="O349" s="5" t="n">
        <f aca="false">M349-N349</f>
        <v>5</v>
      </c>
      <c r="P349" s="8" t="n">
        <f aca="false">IFERROR(I349/G349,0)</f>
        <v>1</v>
      </c>
      <c r="Q349" s="8" t="n">
        <f aca="false">IFERROR(M349/L349,0)</f>
        <v>0.547368421052632</v>
      </c>
      <c r="R349" s="8" t="n">
        <f aca="false">IFERROR(N349/M349,0)</f>
        <v>0.981684981684982</v>
      </c>
      <c r="S349" s="8" t="n">
        <f aca="false">P349*Q349*R349</f>
        <v>0.53734335839599</v>
      </c>
    </row>
    <row r="350" customFormat="false" ht="15" hidden="false" customHeight="false" outlineLevel="0" collapsed="false">
      <c r="A350" s="4" t="n">
        <v>46161</v>
      </c>
      <c r="B350" s="5" t="n">
        <f aca="false">MONTH($A350)</f>
        <v>5</v>
      </c>
      <c r="C350" s="5" t="n">
        <v>3</v>
      </c>
      <c r="D350" s="6" t="str">
        <f aca="false">INDEX(Parametros!$B$16:$B$18,MATCH($C350,Parametros!$A$16:$A$18,0))</f>
        <v>E3 - Sellado y etiquetado</v>
      </c>
      <c r="E350" s="7" t="n">
        <f aca="false">IF(WEEKDAY($A350,2)&lt;6,Parametros!$B$21,Parametros!$B$22)</f>
        <v>6</v>
      </c>
      <c r="F350" s="7" t="n">
        <v>0.25</v>
      </c>
      <c r="G350" s="7" t="n">
        <f aca="false">E350-F350</f>
        <v>5.75</v>
      </c>
      <c r="H350" s="7" t="n">
        <v>0.5</v>
      </c>
      <c r="I350" s="7" t="n">
        <f aca="false">G350-H350</f>
        <v>5.25</v>
      </c>
      <c r="J350" s="6" t="s">
        <v>23</v>
      </c>
      <c r="K350" s="5" t="n">
        <f aca="false">INDEX(Parametros!$C$16:$C$18,MATCH($C350,Parametros!$A$16:$A$18,0))</f>
        <v>95</v>
      </c>
      <c r="L350" s="5" t="n">
        <f aca="false">I350*K350</f>
        <v>498.75</v>
      </c>
      <c r="M350" s="5" t="n">
        <v>268</v>
      </c>
      <c r="N350" s="5" t="n">
        <v>266</v>
      </c>
      <c r="O350" s="5" t="n">
        <f aca="false">M350-N350</f>
        <v>2</v>
      </c>
      <c r="P350" s="8" t="n">
        <f aca="false">IFERROR(I350/G350,0)</f>
        <v>0.91304347826087</v>
      </c>
      <c r="Q350" s="8" t="n">
        <f aca="false">IFERROR(M350/L350,0)</f>
        <v>0.53734335839599</v>
      </c>
      <c r="R350" s="8" t="n">
        <f aca="false">IFERROR(N350/M350,0)</f>
        <v>0.992537313432836</v>
      </c>
      <c r="S350" s="8" t="n">
        <f aca="false">P350*Q350*R350</f>
        <v>0.48695652173913</v>
      </c>
    </row>
    <row r="351" customFormat="false" ht="15" hidden="false" customHeight="false" outlineLevel="0" collapsed="false">
      <c r="A351" s="4" t="n">
        <v>46162</v>
      </c>
      <c r="B351" s="5" t="n">
        <f aca="false">MONTH($A351)</f>
        <v>5</v>
      </c>
      <c r="C351" s="5" t="n">
        <v>1</v>
      </c>
      <c r="D351" s="6" t="str">
        <f aca="false">INDEX(Parametros!$B$16:$B$18,MATCH($C351,Parametros!$A$16:$A$18,0))</f>
        <v>E1 - Lavado y sanitizado de bidones</v>
      </c>
      <c r="E351" s="7" t="n">
        <f aca="false">IF(WEEKDAY($A351,2)&lt;6,Parametros!$B$21,Parametros!$B$22)</f>
        <v>6</v>
      </c>
      <c r="F351" s="7" t="n">
        <v>0.5</v>
      </c>
      <c r="G351" s="7" t="n">
        <f aca="false">E351-F351</f>
        <v>5.5</v>
      </c>
      <c r="H351" s="7" t="n">
        <v>0</v>
      </c>
      <c r="I351" s="7" t="n">
        <f aca="false">G351-H351</f>
        <v>5.5</v>
      </c>
      <c r="J351" s="6" t="s">
        <v>27</v>
      </c>
      <c r="K351" s="5" t="n">
        <f aca="false">INDEX(Parametros!$C$16:$C$18,MATCH($C351,Parametros!$A$16:$A$18,0))</f>
        <v>100</v>
      </c>
      <c r="L351" s="5" t="n">
        <f aca="false">I351*K351</f>
        <v>550</v>
      </c>
      <c r="M351" s="5" t="n">
        <v>321</v>
      </c>
      <c r="N351" s="5" t="n">
        <v>318</v>
      </c>
      <c r="O351" s="5" t="n">
        <f aca="false">M351-N351</f>
        <v>3</v>
      </c>
      <c r="P351" s="8" t="n">
        <f aca="false">IFERROR(I351/G351,0)</f>
        <v>1</v>
      </c>
      <c r="Q351" s="8" t="n">
        <f aca="false">IFERROR(M351/L351,0)</f>
        <v>0.583636363636364</v>
      </c>
      <c r="R351" s="8" t="n">
        <f aca="false">IFERROR(N351/M351,0)</f>
        <v>0.990654205607477</v>
      </c>
      <c r="S351" s="8" t="n">
        <f aca="false">P351*Q351*R351</f>
        <v>0.578181818181818</v>
      </c>
    </row>
    <row r="352" customFormat="false" ht="15" hidden="false" customHeight="false" outlineLevel="0" collapsed="false">
      <c r="A352" s="4" t="n">
        <v>46162</v>
      </c>
      <c r="B352" s="5" t="n">
        <f aca="false">MONTH($A352)</f>
        <v>5</v>
      </c>
      <c r="C352" s="5" t="n">
        <v>2</v>
      </c>
      <c r="D352" s="6" t="str">
        <f aca="false">INDEX(Parametros!$B$16:$B$18,MATCH($C352,Parametros!$A$16:$A$18,0))</f>
        <v>E2 - Llenado y tapado</v>
      </c>
      <c r="E352" s="7" t="n">
        <f aca="false">IF(WEEKDAY($A352,2)&lt;6,Parametros!$B$21,Parametros!$B$22)</f>
        <v>6</v>
      </c>
      <c r="F352" s="7" t="n">
        <v>0.75</v>
      </c>
      <c r="G352" s="7" t="n">
        <f aca="false">E352-F352</f>
        <v>5.25</v>
      </c>
      <c r="H352" s="7" t="n">
        <v>0.5</v>
      </c>
      <c r="I352" s="7" t="n">
        <f aca="false">G352-H352</f>
        <v>4.75</v>
      </c>
      <c r="J352" s="6" t="s">
        <v>23</v>
      </c>
      <c r="K352" s="5" t="n">
        <f aca="false">INDEX(Parametros!$C$16:$C$18,MATCH($C352,Parametros!$A$16:$A$18,0))</f>
        <v>95</v>
      </c>
      <c r="L352" s="5" t="n">
        <f aca="false">I352*K352</f>
        <v>451.25</v>
      </c>
      <c r="M352" s="5" t="n">
        <v>318</v>
      </c>
      <c r="N352" s="5" t="n">
        <v>315</v>
      </c>
      <c r="O352" s="5" t="n">
        <f aca="false">M352-N352</f>
        <v>3</v>
      </c>
      <c r="P352" s="8" t="n">
        <f aca="false">IFERROR(I352/G352,0)</f>
        <v>0.904761904761905</v>
      </c>
      <c r="Q352" s="8" t="n">
        <f aca="false">IFERROR(M352/L352,0)</f>
        <v>0.704709141274238</v>
      </c>
      <c r="R352" s="8" t="n">
        <f aca="false">IFERROR(N352/M352,0)</f>
        <v>0.990566037735849</v>
      </c>
      <c r="S352" s="8" t="n">
        <f aca="false">P352*Q352*R352</f>
        <v>0.631578947368421</v>
      </c>
    </row>
    <row r="353" customFormat="false" ht="15" hidden="false" customHeight="false" outlineLevel="0" collapsed="false">
      <c r="A353" s="4" t="n">
        <v>46162</v>
      </c>
      <c r="B353" s="5" t="n">
        <f aca="false">MONTH($A353)</f>
        <v>5</v>
      </c>
      <c r="C353" s="5" t="n">
        <v>3</v>
      </c>
      <c r="D353" s="6" t="str">
        <f aca="false">INDEX(Parametros!$B$16:$B$18,MATCH($C353,Parametros!$A$16:$A$18,0))</f>
        <v>E3 - Sellado y etiquetado</v>
      </c>
      <c r="E353" s="7" t="n">
        <f aca="false">IF(WEEKDAY($A353,2)&lt;6,Parametros!$B$21,Parametros!$B$22)</f>
        <v>6</v>
      </c>
      <c r="F353" s="7" t="n">
        <v>0.25</v>
      </c>
      <c r="G353" s="7" t="n">
        <f aca="false">E353-F353</f>
        <v>5.75</v>
      </c>
      <c r="H353" s="7" t="n">
        <v>0</v>
      </c>
      <c r="I353" s="7" t="n">
        <f aca="false">G353-H353</f>
        <v>5.75</v>
      </c>
      <c r="J353" s="6" t="s">
        <v>27</v>
      </c>
      <c r="K353" s="5" t="n">
        <f aca="false">INDEX(Parametros!$C$16:$C$18,MATCH($C353,Parametros!$A$16:$A$18,0))</f>
        <v>95</v>
      </c>
      <c r="L353" s="5" t="n">
        <f aca="false">I353*K353</f>
        <v>546.25</v>
      </c>
      <c r="M353" s="5" t="n">
        <v>315</v>
      </c>
      <c r="N353" s="5" t="n">
        <v>312</v>
      </c>
      <c r="O353" s="5" t="n">
        <f aca="false">M353-N353</f>
        <v>3</v>
      </c>
      <c r="P353" s="8" t="n">
        <f aca="false">IFERROR(I353/G353,0)</f>
        <v>1</v>
      </c>
      <c r="Q353" s="8" t="n">
        <f aca="false">IFERROR(M353/L353,0)</f>
        <v>0.576659038901602</v>
      </c>
      <c r="R353" s="8" t="n">
        <f aca="false">IFERROR(N353/M353,0)</f>
        <v>0.990476190476191</v>
      </c>
      <c r="S353" s="8" t="n">
        <f aca="false">P353*Q353*R353</f>
        <v>0.57116704805492</v>
      </c>
    </row>
    <row r="354" customFormat="false" ht="15" hidden="false" customHeight="false" outlineLevel="0" collapsed="false">
      <c r="A354" s="4" t="n">
        <v>46163</v>
      </c>
      <c r="B354" s="5" t="n">
        <f aca="false">MONTH($A354)</f>
        <v>5</v>
      </c>
      <c r="C354" s="5" t="n">
        <v>1</v>
      </c>
      <c r="D354" s="6" t="str">
        <f aca="false">INDEX(Parametros!$B$16:$B$18,MATCH($C354,Parametros!$A$16:$A$18,0))</f>
        <v>E1 - Lavado y sanitizado de bidones</v>
      </c>
      <c r="E354" s="7" t="n">
        <f aca="false">IF(WEEKDAY($A354,2)&lt;6,Parametros!$B$21,Parametros!$B$22)</f>
        <v>6</v>
      </c>
      <c r="F354" s="7" t="n">
        <v>0.5</v>
      </c>
      <c r="G354" s="7" t="n">
        <f aca="false">E354-F354</f>
        <v>5.5</v>
      </c>
      <c r="H354" s="7" t="n">
        <v>0.75</v>
      </c>
      <c r="I354" s="7" t="n">
        <f aca="false">G354-H354</f>
        <v>4.75</v>
      </c>
      <c r="J354" s="6" t="s">
        <v>30</v>
      </c>
      <c r="K354" s="5" t="n">
        <f aca="false">INDEX(Parametros!$C$16:$C$18,MATCH($C354,Parametros!$A$16:$A$18,0))</f>
        <v>100</v>
      </c>
      <c r="L354" s="5" t="n">
        <f aca="false">I354*K354</f>
        <v>475</v>
      </c>
      <c r="M354" s="5" t="n">
        <v>295</v>
      </c>
      <c r="N354" s="5" t="n">
        <v>292</v>
      </c>
      <c r="O354" s="5" t="n">
        <f aca="false">M354-N354</f>
        <v>3</v>
      </c>
      <c r="P354" s="8" t="n">
        <f aca="false">IFERROR(I354/G354,0)</f>
        <v>0.863636363636364</v>
      </c>
      <c r="Q354" s="8" t="n">
        <f aca="false">IFERROR(M354/L354,0)</f>
        <v>0.621052631578947</v>
      </c>
      <c r="R354" s="8" t="n">
        <f aca="false">IFERROR(N354/M354,0)</f>
        <v>0.989830508474576</v>
      </c>
      <c r="S354" s="8" t="n">
        <f aca="false">P354*Q354*R354</f>
        <v>0.530909090909091</v>
      </c>
    </row>
    <row r="355" customFormat="false" ht="15" hidden="false" customHeight="false" outlineLevel="0" collapsed="false">
      <c r="A355" s="4" t="n">
        <v>46163</v>
      </c>
      <c r="B355" s="5" t="n">
        <f aca="false">MONTH($A355)</f>
        <v>5</v>
      </c>
      <c r="C355" s="5" t="n">
        <v>2</v>
      </c>
      <c r="D355" s="6" t="str">
        <f aca="false">INDEX(Parametros!$B$16:$B$18,MATCH($C355,Parametros!$A$16:$A$18,0))</f>
        <v>E2 - Llenado y tapado</v>
      </c>
      <c r="E355" s="7" t="n">
        <f aca="false">IF(WEEKDAY($A355,2)&lt;6,Parametros!$B$21,Parametros!$B$22)</f>
        <v>6</v>
      </c>
      <c r="F355" s="7" t="n">
        <v>0.75</v>
      </c>
      <c r="G355" s="7" t="n">
        <f aca="false">E355-F355</f>
        <v>5.25</v>
      </c>
      <c r="H355" s="7" t="n">
        <v>0.5</v>
      </c>
      <c r="I355" s="7" t="n">
        <f aca="false">G355-H355</f>
        <v>4.75</v>
      </c>
      <c r="J355" s="6" t="s">
        <v>30</v>
      </c>
      <c r="K355" s="5" t="n">
        <f aca="false">INDEX(Parametros!$C$16:$C$18,MATCH($C355,Parametros!$A$16:$A$18,0))</f>
        <v>95</v>
      </c>
      <c r="L355" s="5" t="n">
        <f aca="false">I355*K355</f>
        <v>451.25</v>
      </c>
      <c r="M355" s="5" t="n">
        <v>292</v>
      </c>
      <c r="N355" s="5" t="n">
        <v>286</v>
      </c>
      <c r="O355" s="5" t="n">
        <f aca="false">M355-N355</f>
        <v>6</v>
      </c>
      <c r="P355" s="8" t="n">
        <f aca="false">IFERROR(I355/G355,0)</f>
        <v>0.904761904761905</v>
      </c>
      <c r="Q355" s="8" t="n">
        <f aca="false">IFERROR(M355/L355,0)</f>
        <v>0.647091412742382</v>
      </c>
      <c r="R355" s="8" t="n">
        <f aca="false">IFERROR(N355/M355,0)</f>
        <v>0.979452054794521</v>
      </c>
      <c r="S355" s="8" t="n">
        <f aca="false">P355*Q355*R355</f>
        <v>0.5734335839599</v>
      </c>
    </row>
    <row r="356" customFormat="false" ht="15" hidden="false" customHeight="false" outlineLevel="0" collapsed="false">
      <c r="A356" s="4" t="n">
        <v>46163</v>
      </c>
      <c r="B356" s="5" t="n">
        <f aca="false">MONTH($A356)</f>
        <v>5</v>
      </c>
      <c r="C356" s="5" t="n">
        <v>3</v>
      </c>
      <c r="D356" s="6" t="str">
        <f aca="false">INDEX(Parametros!$B$16:$B$18,MATCH($C356,Parametros!$A$16:$A$18,0))</f>
        <v>E3 - Sellado y etiquetado</v>
      </c>
      <c r="E356" s="7" t="n">
        <f aca="false">IF(WEEKDAY($A356,2)&lt;6,Parametros!$B$21,Parametros!$B$22)</f>
        <v>6</v>
      </c>
      <c r="F356" s="7" t="n">
        <v>0.25</v>
      </c>
      <c r="G356" s="7" t="n">
        <f aca="false">E356-F356</f>
        <v>5.75</v>
      </c>
      <c r="H356" s="7" t="n">
        <v>0.5</v>
      </c>
      <c r="I356" s="7" t="n">
        <f aca="false">G356-H356</f>
        <v>5.25</v>
      </c>
      <c r="J356" s="6" t="s">
        <v>30</v>
      </c>
      <c r="K356" s="5" t="n">
        <f aca="false">INDEX(Parametros!$C$16:$C$18,MATCH($C356,Parametros!$A$16:$A$18,0))</f>
        <v>95</v>
      </c>
      <c r="L356" s="5" t="n">
        <f aca="false">I356*K356</f>
        <v>498.75</v>
      </c>
      <c r="M356" s="5" t="n">
        <v>286</v>
      </c>
      <c r="N356" s="5" t="n">
        <v>285</v>
      </c>
      <c r="O356" s="5" t="n">
        <f aca="false">M356-N356</f>
        <v>1</v>
      </c>
      <c r="P356" s="8" t="n">
        <f aca="false">IFERROR(I356/G356,0)</f>
        <v>0.91304347826087</v>
      </c>
      <c r="Q356" s="8" t="n">
        <f aca="false">IFERROR(M356/L356,0)</f>
        <v>0.5734335839599</v>
      </c>
      <c r="R356" s="8" t="n">
        <f aca="false">IFERROR(N356/M356,0)</f>
        <v>0.996503496503497</v>
      </c>
      <c r="S356" s="8" t="n">
        <f aca="false">P356*Q356*R356</f>
        <v>0.521739130434783</v>
      </c>
    </row>
    <row r="357" customFormat="false" ht="15" hidden="false" customHeight="false" outlineLevel="0" collapsed="false">
      <c r="A357" s="4" t="n">
        <v>46164</v>
      </c>
      <c r="B357" s="5" t="n">
        <f aca="false">MONTH($A357)</f>
        <v>5</v>
      </c>
      <c r="C357" s="5" t="n">
        <v>1</v>
      </c>
      <c r="D357" s="6" t="str">
        <f aca="false">INDEX(Parametros!$B$16:$B$18,MATCH($C357,Parametros!$A$16:$A$18,0))</f>
        <v>E1 - Lavado y sanitizado de bidones</v>
      </c>
      <c r="E357" s="7" t="n">
        <f aca="false">IF(WEEKDAY($A357,2)&lt;6,Parametros!$B$21,Parametros!$B$22)</f>
        <v>6</v>
      </c>
      <c r="F357" s="7" t="n">
        <v>0.5</v>
      </c>
      <c r="G357" s="7" t="n">
        <f aca="false">E357-F357</f>
        <v>5.5</v>
      </c>
      <c r="H357" s="7" t="n">
        <v>0</v>
      </c>
      <c r="I357" s="7" t="n">
        <f aca="false">G357-H357</f>
        <v>5.5</v>
      </c>
      <c r="J357" s="6" t="s">
        <v>27</v>
      </c>
      <c r="K357" s="5" t="n">
        <f aca="false">INDEX(Parametros!$C$16:$C$18,MATCH($C357,Parametros!$A$16:$A$18,0))</f>
        <v>100</v>
      </c>
      <c r="L357" s="5" t="n">
        <f aca="false">I357*K357</f>
        <v>550</v>
      </c>
      <c r="M357" s="5" t="n">
        <v>284</v>
      </c>
      <c r="N357" s="5" t="n">
        <v>280</v>
      </c>
      <c r="O357" s="5" t="n">
        <f aca="false">M357-N357</f>
        <v>4</v>
      </c>
      <c r="P357" s="8" t="n">
        <f aca="false">IFERROR(I357/G357,0)</f>
        <v>1</v>
      </c>
      <c r="Q357" s="8" t="n">
        <f aca="false">IFERROR(M357/L357,0)</f>
        <v>0.516363636363636</v>
      </c>
      <c r="R357" s="8" t="n">
        <f aca="false">IFERROR(N357/M357,0)</f>
        <v>0.985915492957747</v>
      </c>
      <c r="S357" s="8" t="n">
        <f aca="false">P357*Q357*R357</f>
        <v>0.509090909090909</v>
      </c>
    </row>
    <row r="358" customFormat="false" ht="15" hidden="false" customHeight="false" outlineLevel="0" collapsed="false">
      <c r="A358" s="4" t="n">
        <v>46164</v>
      </c>
      <c r="B358" s="5" t="n">
        <f aca="false">MONTH($A358)</f>
        <v>5</v>
      </c>
      <c r="C358" s="5" t="n">
        <v>2</v>
      </c>
      <c r="D358" s="6" t="str">
        <f aca="false">INDEX(Parametros!$B$16:$B$18,MATCH($C358,Parametros!$A$16:$A$18,0))</f>
        <v>E2 - Llenado y tapado</v>
      </c>
      <c r="E358" s="7" t="n">
        <f aca="false">IF(WEEKDAY($A358,2)&lt;6,Parametros!$B$21,Parametros!$B$22)</f>
        <v>6</v>
      </c>
      <c r="F358" s="7" t="n">
        <v>0.75</v>
      </c>
      <c r="G358" s="7" t="n">
        <f aca="false">E358-F358</f>
        <v>5.25</v>
      </c>
      <c r="H358" s="7" t="n">
        <v>0.5</v>
      </c>
      <c r="I358" s="7" t="n">
        <f aca="false">G358-H358</f>
        <v>4.75</v>
      </c>
      <c r="J358" s="6" t="s">
        <v>26</v>
      </c>
      <c r="K358" s="5" t="n">
        <f aca="false">INDEX(Parametros!$C$16:$C$18,MATCH($C358,Parametros!$A$16:$A$18,0))</f>
        <v>95</v>
      </c>
      <c r="L358" s="5" t="n">
        <f aca="false">I358*K358</f>
        <v>451.25</v>
      </c>
      <c r="M358" s="5" t="n">
        <v>280</v>
      </c>
      <c r="N358" s="5" t="n">
        <v>277</v>
      </c>
      <c r="O358" s="5" t="n">
        <f aca="false">M358-N358</f>
        <v>3</v>
      </c>
      <c r="P358" s="8" t="n">
        <f aca="false">IFERROR(I358/G358,0)</f>
        <v>0.904761904761905</v>
      </c>
      <c r="Q358" s="8" t="n">
        <f aca="false">IFERROR(M358/L358,0)</f>
        <v>0.620498614958449</v>
      </c>
      <c r="R358" s="8" t="n">
        <f aca="false">IFERROR(N358/M358,0)</f>
        <v>0.989285714285714</v>
      </c>
      <c r="S358" s="8" t="n">
        <f aca="false">P358*Q358*R358</f>
        <v>0.555388471177945</v>
      </c>
    </row>
    <row r="359" customFormat="false" ht="15" hidden="false" customHeight="false" outlineLevel="0" collapsed="false">
      <c r="A359" s="4" t="n">
        <v>46164</v>
      </c>
      <c r="B359" s="5" t="n">
        <f aca="false">MONTH($A359)</f>
        <v>5</v>
      </c>
      <c r="C359" s="5" t="n">
        <v>3</v>
      </c>
      <c r="D359" s="6" t="str">
        <f aca="false">INDEX(Parametros!$B$16:$B$18,MATCH($C359,Parametros!$A$16:$A$18,0))</f>
        <v>E3 - Sellado y etiquetado</v>
      </c>
      <c r="E359" s="7" t="n">
        <f aca="false">IF(WEEKDAY($A359,2)&lt;6,Parametros!$B$21,Parametros!$B$22)</f>
        <v>6</v>
      </c>
      <c r="F359" s="7" t="n">
        <v>0.25</v>
      </c>
      <c r="G359" s="7" t="n">
        <f aca="false">E359-F359</f>
        <v>5.75</v>
      </c>
      <c r="H359" s="7" t="n">
        <v>0.5</v>
      </c>
      <c r="I359" s="7" t="n">
        <f aca="false">G359-H359</f>
        <v>5.25</v>
      </c>
      <c r="J359" s="6" t="s">
        <v>25</v>
      </c>
      <c r="K359" s="5" t="n">
        <f aca="false">INDEX(Parametros!$C$16:$C$18,MATCH($C359,Parametros!$A$16:$A$18,0))</f>
        <v>95</v>
      </c>
      <c r="L359" s="5" t="n">
        <f aca="false">I359*K359</f>
        <v>498.75</v>
      </c>
      <c r="M359" s="5" t="n">
        <v>277</v>
      </c>
      <c r="N359" s="5" t="n">
        <v>276</v>
      </c>
      <c r="O359" s="5" t="n">
        <f aca="false">M359-N359</f>
        <v>1</v>
      </c>
      <c r="P359" s="8" t="n">
        <f aca="false">IFERROR(I359/G359,0)</f>
        <v>0.91304347826087</v>
      </c>
      <c r="Q359" s="8" t="n">
        <f aca="false">IFERROR(M359/L359,0)</f>
        <v>0.555388471177945</v>
      </c>
      <c r="R359" s="8" t="n">
        <f aca="false">IFERROR(N359/M359,0)</f>
        <v>0.996389891696751</v>
      </c>
      <c r="S359" s="8" t="n">
        <f aca="false">P359*Q359*R359</f>
        <v>0.505263157894737</v>
      </c>
    </row>
    <row r="360" customFormat="false" ht="15" hidden="false" customHeight="false" outlineLevel="0" collapsed="false">
      <c r="A360" s="4" t="n">
        <v>46165</v>
      </c>
      <c r="B360" s="5" t="n">
        <f aca="false">MONTH($A360)</f>
        <v>5</v>
      </c>
      <c r="C360" s="5" t="n">
        <v>1</v>
      </c>
      <c r="D360" s="6" t="str">
        <f aca="false">INDEX(Parametros!$B$16:$B$18,MATCH($C360,Parametros!$A$16:$A$18,0))</f>
        <v>E1 - Lavado y sanitizado de bidones</v>
      </c>
      <c r="E360" s="7" t="n">
        <f aca="false">IF(WEEKDAY($A360,2)&lt;6,Parametros!$B$21,Parametros!$B$22)</f>
        <v>4</v>
      </c>
      <c r="F360" s="7" t="n">
        <v>0.75</v>
      </c>
      <c r="G360" s="7" t="n">
        <f aca="false">E360-F360</f>
        <v>3.25</v>
      </c>
      <c r="H360" s="7" t="n">
        <v>2.75</v>
      </c>
      <c r="I360" s="7" t="n">
        <f aca="false">G360-H360</f>
        <v>0.5</v>
      </c>
      <c r="J360" s="6" t="s">
        <v>30</v>
      </c>
      <c r="K360" s="5" t="n">
        <f aca="false">INDEX(Parametros!$C$16:$C$18,MATCH($C360,Parametros!$A$16:$A$18,0))</f>
        <v>100</v>
      </c>
      <c r="L360" s="5" t="n">
        <f aca="false">I360*K360</f>
        <v>50</v>
      </c>
      <c r="M360" s="5" t="n">
        <v>41</v>
      </c>
      <c r="N360" s="5" t="n">
        <v>40</v>
      </c>
      <c r="O360" s="5" t="n">
        <f aca="false">M360-N360</f>
        <v>1</v>
      </c>
      <c r="P360" s="8" t="n">
        <f aca="false">IFERROR(I360/G360,0)</f>
        <v>0.153846153846154</v>
      </c>
      <c r="Q360" s="8" t="n">
        <f aca="false">IFERROR(M360/L360,0)</f>
        <v>0.82</v>
      </c>
      <c r="R360" s="8" t="n">
        <f aca="false">IFERROR(N360/M360,0)</f>
        <v>0.975609756097561</v>
      </c>
      <c r="S360" s="8" t="n">
        <f aca="false">P360*Q360*R360</f>
        <v>0.123076923076923</v>
      </c>
    </row>
    <row r="361" customFormat="false" ht="15" hidden="false" customHeight="false" outlineLevel="0" collapsed="false">
      <c r="A361" s="4" t="n">
        <v>46165</v>
      </c>
      <c r="B361" s="5" t="n">
        <f aca="false">MONTH($A361)</f>
        <v>5</v>
      </c>
      <c r="C361" s="5" t="n">
        <v>2</v>
      </c>
      <c r="D361" s="6" t="str">
        <f aca="false">INDEX(Parametros!$B$16:$B$18,MATCH($C361,Parametros!$A$16:$A$18,0))</f>
        <v>E2 - Llenado y tapado</v>
      </c>
      <c r="E361" s="7" t="n">
        <f aca="false">IF(WEEKDAY($A361,2)&lt;6,Parametros!$B$21,Parametros!$B$22)</f>
        <v>4</v>
      </c>
      <c r="F361" s="7" t="n">
        <v>1</v>
      </c>
      <c r="G361" s="7" t="n">
        <f aca="false">E361-F361</f>
        <v>3</v>
      </c>
      <c r="H361" s="7" t="n">
        <v>2.5</v>
      </c>
      <c r="I361" s="7" t="n">
        <f aca="false">G361-H361</f>
        <v>0.5</v>
      </c>
      <c r="J361" s="6" t="s">
        <v>28</v>
      </c>
      <c r="K361" s="5" t="n">
        <f aca="false">INDEX(Parametros!$C$16:$C$18,MATCH($C361,Parametros!$A$16:$A$18,0))</f>
        <v>95</v>
      </c>
      <c r="L361" s="5" t="n">
        <f aca="false">I361*K361</f>
        <v>47.5</v>
      </c>
      <c r="M361" s="5" t="n">
        <v>40</v>
      </c>
      <c r="N361" s="5" t="n">
        <v>39</v>
      </c>
      <c r="O361" s="5" t="n">
        <f aca="false">M361-N361</f>
        <v>1</v>
      </c>
      <c r="P361" s="8" t="n">
        <f aca="false">IFERROR(I361/G361,0)</f>
        <v>0.166666666666667</v>
      </c>
      <c r="Q361" s="8" t="n">
        <f aca="false">IFERROR(M361/L361,0)</f>
        <v>0.842105263157895</v>
      </c>
      <c r="R361" s="8" t="n">
        <f aca="false">IFERROR(N361/M361,0)</f>
        <v>0.975</v>
      </c>
      <c r="S361" s="8" t="n">
        <f aca="false">P361*Q361*R361</f>
        <v>0.136842105263158</v>
      </c>
    </row>
    <row r="362" customFormat="false" ht="15" hidden="false" customHeight="false" outlineLevel="0" collapsed="false">
      <c r="A362" s="4" t="n">
        <v>46165</v>
      </c>
      <c r="B362" s="5" t="n">
        <f aca="false">MONTH($A362)</f>
        <v>5</v>
      </c>
      <c r="C362" s="5" t="n">
        <v>3</v>
      </c>
      <c r="D362" s="6" t="str">
        <f aca="false">INDEX(Parametros!$B$16:$B$18,MATCH($C362,Parametros!$A$16:$A$18,0))</f>
        <v>E3 - Sellado y etiquetado</v>
      </c>
      <c r="E362" s="7" t="n">
        <f aca="false">IF(WEEKDAY($A362,2)&lt;6,Parametros!$B$21,Parametros!$B$22)</f>
        <v>4</v>
      </c>
      <c r="F362" s="7" t="n">
        <v>0.5</v>
      </c>
      <c r="G362" s="7" t="n">
        <f aca="false">E362-F362</f>
        <v>3.5</v>
      </c>
      <c r="H362" s="7" t="n">
        <v>2</v>
      </c>
      <c r="I362" s="7" t="n">
        <f aca="false">G362-H362</f>
        <v>1.5</v>
      </c>
      <c r="J362" s="6" t="s">
        <v>25</v>
      </c>
      <c r="K362" s="5" t="n">
        <f aca="false">INDEX(Parametros!$C$16:$C$18,MATCH($C362,Parametros!$A$16:$A$18,0))</f>
        <v>95</v>
      </c>
      <c r="L362" s="5" t="n">
        <f aca="false">I362*K362</f>
        <v>142.5</v>
      </c>
      <c r="M362" s="5" t="n">
        <v>39</v>
      </c>
      <c r="N362" s="5" t="n">
        <v>38</v>
      </c>
      <c r="O362" s="5" t="n">
        <f aca="false">M362-N362</f>
        <v>1</v>
      </c>
      <c r="P362" s="8" t="n">
        <f aca="false">IFERROR(I362/G362,0)</f>
        <v>0.428571428571429</v>
      </c>
      <c r="Q362" s="8" t="n">
        <f aca="false">IFERROR(M362/L362,0)</f>
        <v>0.273684210526316</v>
      </c>
      <c r="R362" s="8" t="n">
        <f aca="false">IFERROR(N362/M362,0)</f>
        <v>0.974358974358974</v>
      </c>
      <c r="S362" s="8" t="n">
        <f aca="false">P362*Q362*R362</f>
        <v>0.114285714285714</v>
      </c>
    </row>
    <row r="363" customFormat="false" ht="15" hidden="false" customHeight="false" outlineLevel="0" collapsed="false">
      <c r="A363" s="4" t="n">
        <v>46167</v>
      </c>
      <c r="B363" s="5" t="n">
        <f aca="false">MONTH($A363)</f>
        <v>5</v>
      </c>
      <c r="C363" s="5" t="n">
        <v>1</v>
      </c>
      <c r="D363" s="6" t="str">
        <f aca="false">INDEX(Parametros!$B$16:$B$18,MATCH($C363,Parametros!$A$16:$A$18,0))</f>
        <v>E1 - Lavado y sanitizado de bidones</v>
      </c>
      <c r="E363" s="7" t="n">
        <f aca="false">IF(WEEKDAY($A363,2)&lt;6,Parametros!$B$21,Parametros!$B$22)</f>
        <v>6</v>
      </c>
      <c r="F363" s="7" t="n">
        <v>0.5</v>
      </c>
      <c r="G363" s="7" t="n">
        <f aca="false">E363-F363</f>
        <v>5.5</v>
      </c>
      <c r="H363" s="7" t="n">
        <v>0.5</v>
      </c>
      <c r="I363" s="7" t="n">
        <f aca="false">G363-H363</f>
        <v>5</v>
      </c>
      <c r="J363" s="6" t="s">
        <v>22</v>
      </c>
      <c r="K363" s="5" t="n">
        <f aca="false">INDEX(Parametros!$C$16:$C$18,MATCH($C363,Parametros!$A$16:$A$18,0))</f>
        <v>100</v>
      </c>
      <c r="L363" s="5" t="n">
        <f aca="false">I363*K363</f>
        <v>500</v>
      </c>
      <c r="M363" s="5" t="n">
        <v>276</v>
      </c>
      <c r="N363" s="5" t="n">
        <v>274</v>
      </c>
      <c r="O363" s="5" t="n">
        <f aca="false">M363-N363</f>
        <v>2</v>
      </c>
      <c r="P363" s="8" t="n">
        <f aca="false">IFERROR(I363/G363,0)</f>
        <v>0.909090909090909</v>
      </c>
      <c r="Q363" s="8" t="n">
        <f aca="false">IFERROR(M363/L363,0)</f>
        <v>0.552</v>
      </c>
      <c r="R363" s="8" t="n">
        <f aca="false">IFERROR(N363/M363,0)</f>
        <v>0.992753623188406</v>
      </c>
      <c r="S363" s="8" t="n">
        <f aca="false">P363*Q363*R363</f>
        <v>0.498181818181818</v>
      </c>
    </row>
    <row r="364" customFormat="false" ht="15" hidden="false" customHeight="false" outlineLevel="0" collapsed="false">
      <c r="A364" s="4" t="n">
        <v>46167</v>
      </c>
      <c r="B364" s="5" t="n">
        <f aca="false">MONTH($A364)</f>
        <v>5</v>
      </c>
      <c r="C364" s="5" t="n">
        <v>2</v>
      </c>
      <c r="D364" s="6" t="str">
        <f aca="false">INDEX(Parametros!$B$16:$B$18,MATCH($C364,Parametros!$A$16:$A$18,0))</f>
        <v>E2 - Llenado y tapado</v>
      </c>
      <c r="E364" s="7" t="n">
        <f aca="false">IF(WEEKDAY($A364,2)&lt;6,Parametros!$B$21,Parametros!$B$22)</f>
        <v>6</v>
      </c>
      <c r="F364" s="7" t="n">
        <v>0.75</v>
      </c>
      <c r="G364" s="7" t="n">
        <f aca="false">E364-F364</f>
        <v>5.25</v>
      </c>
      <c r="H364" s="7" t="n">
        <v>1.25</v>
      </c>
      <c r="I364" s="7" t="n">
        <f aca="false">G364-H364</f>
        <v>4</v>
      </c>
      <c r="J364" s="6" t="s">
        <v>28</v>
      </c>
      <c r="K364" s="5" t="n">
        <f aca="false">INDEX(Parametros!$C$16:$C$18,MATCH($C364,Parametros!$A$16:$A$18,0))</f>
        <v>95</v>
      </c>
      <c r="L364" s="5" t="n">
        <f aca="false">I364*K364</f>
        <v>380</v>
      </c>
      <c r="M364" s="5" t="n">
        <v>274</v>
      </c>
      <c r="N364" s="5" t="n">
        <v>270</v>
      </c>
      <c r="O364" s="5" t="n">
        <f aca="false">M364-N364</f>
        <v>4</v>
      </c>
      <c r="P364" s="8" t="n">
        <f aca="false">IFERROR(I364/G364,0)</f>
        <v>0.761904761904762</v>
      </c>
      <c r="Q364" s="8" t="n">
        <f aca="false">IFERROR(M364/L364,0)</f>
        <v>0.721052631578947</v>
      </c>
      <c r="R364" s="8" t="n">
        <f aca="false">IFERROR(N364/M364,0)</f>
        <v>0.985401459854015</v>
      </c>
      <c r="S364" s="8" t="n">
        <f aca="false">P364*Q364*R364</f>
        <v>0.541353383458647</v>
      </c>
    </row>
    <row r="365" customFormat="false" ht="15" hidden="false" customHeight="false" outlineLevel="0" collapsed="false">
      <c r="A365" s="4" t="n">
        <v>46167</v>
      </c>
      <c r="B365" s="5" t="n">
        <f aca="false">MONTH($A365)</f>
        <v>5</v>
      </c>
      <c r="C365" s="5" t="n">
        <v>3</v>
      </c>
      <c r="D365" s="6" t="str">
        <f aca="false">INDEX(Parametros!$B$16:$B$18,MATCH($C365,Parametros!$A$16:$A$18,0))</f>
        <v>E3 - Sellado y etiquetado</v>
      </c>
      <c r="E365" s="7" t="n">
        <f aca="false">IF(WEEKDAY($A365,2)&lt;6,Parametros!$B$21,Parametros!$B$22)</f>
        <v>6</v>
      </c>
      <c r="F365" s="7" t="n">
        <v>0.25</v>
      </c>
      <c r="G365" s="7" t="n">
        <f aca="false">E365-F365</f>
        <v>5.75</v>
      </c>
      <c r="H365" s="7" t="n">
        <v>0</v>
      </c>
      <c r="I365" s="7" t="n">
        <f aca="false">G365-H365</f>
        <v>5.75</v>
      </c>
      <c r="J365" s="6" t="s">
        <v>27</v>
      </c>
      <c r="K365" s="5" t="n">
        <f aca="false">INDEX(Parametros!$C$16:$C$18,MATCH($C365,Parametros!$A$16:$A$18,0))</f>
        <v>95</v>
      </c>
      <c r="L365" s="5" t="n">
        <f aca="false">I365*K365</f>
        <v>546.25</v>
      </c>
      <c r="M365" s="5" t="n">
        <v>270</v>
      </c>
      <c r="N365" s="5" t="n">
        <v>267</v>
      </c>
      <c r="O365" s="5" t="n">
        <f aca="false">M365-N365</f>
        <v>3</v>
      </c>
      <c r="P365" s="8" t="n">
        <f aca="false">IFERROR(I365/G365,0)</f>
        <v>1</v>
      </c>
      <c r="Q365" s="8" t="n">
        <f aca="false">IFERROR(M365/L365,0)</f>
        <v>0.494279176201373</v>
      </c>
      <c r="R365" s="8" t="n">
        <f aca="false">IFERROR(N365/M365,0)</f>
        <v>0.988888888888889</v>
      </c>
      <c r="S365" s="8" t="n">
        <f aca="false">P365*Q365*R365</f>
        <v>0.488787185354691</v>
      </c>
    </row>
    <row r="366" customFormat="false" ht="15" hidden="false" customHeight="false" outlineLevel="0" collapsed="false">
      <c r="A366" s="4" t="n">
        <v>46168</v>
      </c>
      <c r="B366" s="5" t="n">
        <f aca="false">MONTH($A366)</f>
        <v>5</v>
      </c>
      <c r="C366" s="5" t="n">
        <v>1</v>
      </c>
      <c r="D366" s="6" t="str">
        <f aca="false">INDEX(Parametros!$B$16:$B$18,MATCH($C366,Parametros!$A$16:$A$18,0))</f>
        <v>E1 - Lavado y sanitizado de bidones</v>
      </c>
      <c r="E366" s="7" t="n">
        <f aca="false">IF(WEEKDAY($A366,2)&lt;6,Parametros!$B$21,Parametros!$B$22)</f>
        <v>6</v>
      </c>
      <c r="F366" s="7" t="n">
        <v>0.5</v>
      </c>
      <c r="G366" s="7" t="n">
        <f aca="false">E366-F366</f>
        <v>5.5</v>
      </c>
      <c r="H366" s="7" t="n">
        <v>0.75</v>
      </c>
      <c r="I366" s="7" t="n">
        <f aca="false">G366-H366</f>
        <v>4.75</v>
      </c>
      <c r="J366" s="6" t="s">
        <v>24</v>
      </c>
      <c r="K366" s="5" t="n">
        <f aca="false">INDEX(Parametros!$C$16:$C$18,MATCH($C366,Parametros!$A$16:$A$18,0))</f>
        <v>100</v>
      </c>
      <c r="L366" s="5" t="n">
        <f aca="false">I366*K366</f>
        <v>475</v>
      </c>
      <c r="M366" s="5" t="n">
        <v>278</v>
      </c>
      <c r="N366" s="5" t="n">
        <v>274</v>
      </c>
      <c r="O366" s="5" t="n">
        <f aca="false">M366-N366</f>
        <v>4</v>
      </c>
      <c r="P366" s="8" t="n">
        <f aca="false">IFERROR(I366/G366,0)</f>
        <v>0.863636363636364</v>
      </c>
      <c r="Q366" s="8" t="n">
        <f aca="false">IFERROR(M366/L366,0)</f>
        <v>0.585263157894737</v>
      </c>
      <c r="R366" s="8" t="n">
        <f aca="false">IFERROR(N366/M366,0)</f>
        <v>0.985611510791367</v>
      </c>
      <c r="S366" s="8" t="n">
        <f aca="false">P366*Q366*R366</f>
        <v>0.498181818181818</v>
      </c>
    </row>
    <row r="367" customFormat="false" ht="15" hidden="false" customHeight="false" outlineLevel="0" collapsed="false">
      <c r="A367" s="4" t="n">
        <v>46168</v>
      </c>
      <c r="B367" s="5" t="n">
        <f aca="false">MONTH($A367)</f>
        <v>5</v>
      </c>
      <c r="C367" s="5" t="n">
        <v>2</v>
      </c>
      <c r="D367" s="6" t="str">
        <f aca="false">INDEX(Parametros!$B$16:$B$18,MATCH($C367,Parametros!$A$16:$A$18,0))</f>
        <v>E2 - Llenado y tapado</v>
      </c>
      <c r="E367" s="7" t="n">
        <f aca="false">IF(WEEKDAY($A367,2)&lt;6,Parametros!$B$21,Parametros!$B$22)</f>
        <v>6</v>
      </c>
      <c r="F367" s="7" t="n">
        <v>0.75</v>
      </c>
      <c r="G367" s="7" t="n">
        <f aca="false">E367-F367</f>
        <v>5.25</v>
      </c>
      <c r="H367" s="7" t="n">
        <v>0.25</v>
      </c>
      <c r="I367" s="7" t="n">
        <f aca="false">G367-H367</f>
        <v>5</v>
      </c>
      <c r="J367" s="6" t="s">
        <v>28</v>
      </c>
      <c r="K367" s="5" t="n">
        <f aca="false">INDEX(Parametros!$C$16:$C$18,MATCH($C367,Parametros!$A$16:$A$18,0))</f>
        <v>95</v>
      </c>
      <c r="L367" s="5" t="n">
        <f aca="false">I367*K367</f>
        <v>475</v>
      </c>
      <c r="M367" s="5" t="n">
        <v>274</v>
      </c>
      <c r="N367" s="5" t="n">
        <v>268</v>
      </c>
      <c r="O367" s="5" t="n">
        <f aca="false">M367-N367</f>
        <v>6</v>
      </c>
      <c r="P367" s="8" t="n">
        <f aca="false">IFERROR(I367/G367,0)</f>
        <v>0.952380952380952</v>
      </c>
      <c r="Q367" s="8" t="n">
        <f aca="false">IFERROR(M367/L367,0)</f>
        <v>0.576842105263158</v>
      </c>
      <c r="R367" s="8" t="n">
        <f aca="false">IFERROR(N367/M367,0)</f>
        <v>0.978102189781022</v>
      </c>
      <c r="S367" s="8" t="n">
        <f aca="false">P367*Q367*R367</f>
        <v>0.53734335839599</v>
      </c>
    </row>
    <row r="368" customFormat="false" ht="15" hidden="false" customHeight="false" outlineLevel="0" collapsed="false">
      <c r="A368" s="4" t="n">
        <v>46168</v>
      </c>
      <c r="B368" s="5" t="n">
        <f aca="false">MONTH($A368)</f>
        <v>5</v>
      </c>
      <c r="C368" s="5" t="n">
        <v>3</v>
      </c>
      <c r="D368" s="6" t="str">
        <f aca="false">INDEX(Parametros!$B$16:$B$18,MATCH($C368,Parametros!$A$16:$A$18,0))</f>
        <v>E3 - Sellado y etiquetado</v>
      </c>
      <c r="E368" s="7" t="n">
        <f aca="false">IF(WEEKDAY($A368,2)&lt;6,Parametros!$B$21,Parametros!$B$22)</f>
        <v>6</v>
      </c>
      <c r="F368" s="7" t="n">
        <v>0.25</v>
      </c>
      <c r="G368" s="7" t="n">
        <f aca="false">E368-F368</f>
        <v>5.75</v>
      </c>
      <c r="H368" s="7" t="n">
        <v>0.5</v>
      </c>
      <c r="I368" s="7" t="n">
        <f aca="false">G368-H368</f>
        <v>5.25</v>
      </c>
      <c r="J368" s="6" t="s">
        <v>25</v>
      </c>
      <c r="K368" s="5" t="n">
        <f aca="false">INDEX(Parametros!$C$16:$C$18,MATCH($C368,Parametros!$A$16:$A$18,0))</f>
        <v>95</v>
      </c>
      <c r="L368" s="5" t="n">
        <f aca="false">I368*K368</f>
        <v>498.75</v>
      </c>
      <c r="M368" s="5" t="n">
        <v>268</v>
      </c>
      <c r="N368" s="5" t="n">
        <v>266</v>
      </c>
      <c r="O368" s="5" t="n">
        <f aca="false">M368-N368</f>
        <v>2</v>
      </c>
      <c r="P368" s="8" t="n">
        <f aca="false">IFERROR(I368/G368,0)</f>
        <v>0.91304347826087</v>
      </c>
      <c r="Q368" s="8" t="n">
        <f aca="false">IFERROR(M368/L368,0)</f>
        <v>0.53734335839599</v>
      </c>
      <c r="R368" s="8" t="n">
        <f aca="false">IFERROR(N368/M368,0)</f>
        <v>0.992537313432836</v>
      </c>
      <c r="S368" s="8" t="n">
        <f aca="false">P368*Q368*R368</f>
        <v>0.48695652173913</v>
      </c>
    </row>
    <row r="369" customFormat="false" ht="15" hidden="false" customHeight="false" outlineLevel="0" collapsed="false">
      <c r="A369" s="4" t="n">
        <v>46169</v>
      </c>
      <c r="B369" s="5" t="n">
        <f aca="false">MONTH($A369)</f>
        <v>5</v>
      </c>
      <c r="C369" s="5" t="n">
        <v>1</v>
      </c>
      <c r="D369" s="6" t="str">
        <f aca="false">INDEX(Parametros!$B$16:$B$18,MATCH($C369,Parametros!$A$16:$A$18,0))</f>
        <v>E1 - Lavado y sanitizado de bidones</v>
      </c>
      <c r="E369" s="7" t="n">
        <f aca="false">IF(WEEKDAY($A369,2)&lt;6,Parametros!$B$21,Parametros!$B$22)</f>
        <v>6</v>
      </c>
      <c r="F369" s="7" t="n">
        <v>0.5</v>
      </c>
      <c r="G369" s="7" t="n">
        <f aca="false">E369-F369</f>
        <v>5.5</v>
      </c>
      <c r="H369" s="7" t="n">
        <v>0</v>
      </c>
      <c r="I369" s="7" t="n">
        <f aca="false">G369-H369</f>
        <v>5.5</v>
      </c>
      <c r="J369" s="6" t="s">
        <v>27</v>
      </c>
      <c r="K369" s="5" t="n">
        <f aca="false">INDEX(Parametros!$C$16:$C$18,MATCH($C369,Parametros!$A$16:$A$18,0))</f>
        <v>100</v>
      </c>
      <c r="L369" s="5" t="n">
        <f aca="false">I369*K369</f>
        <v>550</v>
      </c>
      <c r="M369" s="5" t="n">
        <v>304</v>
      </c>
      <c r="N369" s="5" t="n">
        <v>301</v>
      </c>
      <c r="O369" s="5" t="n">
        <f aca="false">M369-N369</f>
        <v>3</v>
      </c>
      <c r="P369" s="8" t="n">
        <f aca="false">IFERROR(I369/G369,0)</f>
        <v>1</v>
      </c>
      <c r="Q369" s="8" t="n">
        <f aca="false">IFERROR(M369/L369,0)</f>
        <v>0.552727272727273</v>
      </c>
      <c r="R369" s="8" t="n">
        <f aca="false">IFERROR(N369/M369,0)</f>
        <v>0.990131578947369</v>
      </c>
      <c r="S369" s="8" t="n">
        <f aca="false">P369*Q369*R369</f>
        <v>0.547272727272727</v>
      </c>
    </row>
    <row r="370" customFormat="false" ht="15" hidden="false" customHeight="false" outlineLevel="0" collapsed="false">
      <c r="A370" s="4" t="n">
        <v>46169</v>
      </c>
      <c r="B370" s="5" t="n">
        <f aca="false">MONTH($A370)</f>
        <v>5</v>
      </c>
      <c r="C370" s="5" t="n">
        <v>2</v>
      </c>
      <c r="D370" s="6" t="str">
        <f aca="false">INDEX(Parametros!$B$16:$B$18,MATCH($C370,Parametros!$A$16:$A$18,0))</f>
        <v>E2 - Llenado y tapado</v>
      </c>
      <c r="E370" s="7" t="n">
        <f aca="false">IF(WEEKDAY($A370,2)&lt;6,Parametros!$B$21,Parametros!$B$22)</f>
        <v>6</v>
      </c>
      <c r="F370" s="7" t="n">
        <v>0.75</v>
      </c>
      <c r="G370" s="7" t="n">
        <f aca="false">E370-F370</f>
        <v>5.25</v>
      </c>
      <c r="H370" s="7" t="n">
        <v>0.75</v>
      </c>
      <c r="I370" s="7" t="n">
        <f aca="false">G370-H370</f>
        <v>4.5</v>
      </c>
      <c r="J370" s="6" t="s">
        <v>28</v>
      </c>
      <c r="K370" s="5" t="n">
        <f aca="false">INDEX(Parametros!$C$16:$C$18,MATCH($C370,Parametros!$A$16:$A$18,0))</f>
        <v>95</v>
      </c>
      <c r="L370" s="5" t="n">
        <f aca="false">I370*K370</f>
        <v>427.5</v>
      </c>
      <c r="M370" s="5" t="n">
        <v>301</v>
      </c>
      <c r="N370" s="5" t="n">
        <v>295</v>
      </c>
      <c r="O370" s="5" t="n">
        <f aca="false">M370-N370</f>
        <v>6</v>
      </c>
      <c r="P370" s="8" t="n">
        <f aca="false">IFERROR(I370/G370,0)</f>
        <v>0.857142857142857</v>
      </c>
      <c r="Q370" s="8" t="n">
        <f aca="false">IFERROR(M370/L370,0)</f>
        <v>0.704093567251462</v>
      </c>
      <c r="R370" s="8" t="n">
        <f aca="false">IFERROR(N370/M370,0)</f>
        <v>0.980066445182724</v>
      </c>
      <c r="S370" s="8" t="n">
        <f aca="false">P370*Q370*R370</f>
        <v>0.591478696741855</v>
      </c>
    </row>
    <row r="371" customFormat="false" ht="15" hidden="false" customHeight="false" outlineLevel="0" collapsed="false">
      <c r="A371" s="4" t="n">
        <v>46169</v>
      </c>
      <c r="B371" s="5" t="n">
        <f aca="false">MONTH($A371)</f>
        <v>5</v>
      </c>
      <c r="C371" s="5" t="n">
        <v>3</v>
      </c>
      <c r="D371" s="6" t="str">
        <f aca="false">INDEX(Parametros!$B$16:$B$18,MATCH($C371,Parametros!$A$16:$A$18,0))</f>
        <v>E3 - Sellado y etiquetado</v>
      </c>
      <c r="E371" s="7" t="n">
        <f aca="false">IF(WEEKDAY($A371,2)&lt;6,Parametros!$B$21,Parametros!$B$22)</f>
        <v>6</v>
      </c>
      <c r="F371" s="7" t="n">
        <v>0.25</v>
      </c>
      <c r="G371" s="7" t="n">
        <f aca="false">E371-F371</f>
        <v>5.75</v>
      </c>
      <c r="H371" s="7" t="n">
        <v>0</v>
      </c>
      <c r="I371" s="7" t="n">
        <f aca="false">G371-H371</f>
        <v>5.75</v>
      </c>
      <c r="J371" s="6" t="s">
        <v>27</v>
      </c>
      <c r="K371" s="5" t="n">
        <f aca="false">INDEX(Parametros!$C$16:$C$18,MATCH($C371,Parametros!$A$16:$A$18,0))</f>
        <v>95</v>
      </c>
      <c r="L371" s="5" t="n">
        <f aca="false">I371*K371</f>
        <v>546.25</v>
      </c>
      <c r="M371" s="5" t="n">
        <v>295</v>
      </c>
      <c r="N371" s="5" t="n">
        <v>291</v>
      </c>
      <c r="O371" s="5" t="n">
        <f aca="false">M371-N371</f>
        <v>4</v>
      </c>
      <c r="P371" s="8" t="n">
        <f aca="false">IFERROR(I371/G371,0)</f>
        <v>1</v>
      </c>
      <c r="Q371" s="8" t="n">
        <f aca="false">IFERROR(M371/L371,0)</f>
        <v>0.540045766590389</v>
      </c>
      <c r="R371" s="8" t="n">
        <f aca="false">IFERROR(N371/M371,0)</f>
        <v>0.986440677966102</v>
      </c>
      <c r="S371" s="8" t="n">
        <f aca="false">P371*Q371*R371</f>
        <v>0.532723112128147</v>
      </c>
    </row>
    <row r="372" customFormat="false" ht="15" hidden="false" customHeight="false" outlineLevel="0" collapsed="false">
      <c r="A372" s="4" t="n">
        <v>46170</v>
      </c>
      <c r="B372" s="5" t="n">
        <f aca="false">MONTH($A372)</f>
        <v>5</v>
      </c>
      <c r="C372" s="5" t="n">
        <v>1</v>
      </c>
      <c r="D372" s="6" t="str">
        <f aca="false">INDEX(Parametros!$B$16:$B$18,MATCH($C372,Parametros!$A$16:$A$18,0))</f>
        <v>E1 - Lavado y sanitizado de bidones</v>
      </c>
      <c r="E372" s="7" t="n">
        <f aca="false">IF(WEEKDAY($A372,2)&lt;6,Parametros!$B$21,Parametros!$B$22)</f>
        <v>6</v>
      </c>
      <c r="F372" s="7" t="n">
        <v>0.5</v>
      </c>
      <c r="G372" s="7" t="n">
        <f aca="false">E372-F372</f>
        <v>5.5</v>
      </c>
      <c r="H372" s="7" t="n">
        <v>0</v>
      </c>
      <c r="I372" s="7" t="n">
        <f aca="false">G372-H372</f>
        <v>5.5</v>
      </c>
      <c r="J372" s="6" t="s">
        <v>27</v>
      </c>
      <c r="K372" s="5" t="n">
        <f aca="false">INDEX(Parametros!$C$16:$C$18,MATCH($C372,Parametros!$A$16:$A$18,0))</f>
        <v>100</v>
      </c>
      <c r="L372" s="5" t="n">
        <f aca="false">I372*K372</f>
        <v>550</v>
      </c>
      <c r="M372" s="5" t="n">
        <v>337</v>
      </c>
      <c r="N372" s="5" t="n">
        <v>332</v>
      </c>
      <c r="O372" s="5" t="n">
        <f aca="false">M372-N372</f>
        <v>5</v>
      </c>
      <c r="P372" s="8" t="n">
        <f aca="false">IFERROR(I372/G372,0)</f>
        <v>1</v>
      </c>
      <c r="Q372" s="8" t="n">
        <f aca="false">IFERROR(M372/L372,0)</f>
        <v>0.612727272727273</v>
      </c>
      <c r="R372" s="8" t="n">
        <f aca="false">IFERROR(N372/M372,0)</f>
        <v>0.985163204747775</v>
      </c>
      <c r="S372" s="8" t="n">
        <f aca="false">P372*Q372*R372</f>
        <v>0.603636363636364</v>
      </c>
    </row>
    <row r="373" customFormat="false" ht="15" hidden="false" customHeight="false" outlineLevel="0" collapsed="false">
      <c r="A373" s="4" t="n">
        <v>46170</v>
      </c>
      <c r="B373" s="5" t="n">
        <f aca="false">MONTH($A373)</f>
        <v>5</v>
      </c>
      <c r="C373" s="5" t="n">
        <v>2</v>
      </c>
      <c r="D373" s="6" t="str">
        <f aca="false">INDEX(Parametros!$B$16:$B$18,MATCH($C373,Parametros!$A$16:$A$18,0))</f>
        <v>E2 - Llenado y tapado</v>
      </c>
      <c r="E373" s="7" t="n">
        <f aca="false">IF(WEEKDAY($A373,2)&lt;6,Parametros!$B$21,Parametros!$B$22)</f>
        <v>6</v>
      </c>
      <c r="F373" s="7" t="n">
        <v>0.75</v>
      </c>
      <c r="G373" s="7" t="n">
        <f aca="false">E373-F373</f>
        <v>5.25</v>
      </c>
      <c r="H373" s="7" t="n">
        <v>0</v>
      </c>
      <c r="I373" s="7" t="n">
        <f aca="false">G373-H373</f>
        <v>5.25</v>
      </c>
      <c r="J373" s="6" t="s">
        <v>27</v>
      </c>
      <c r="K373" s="5" t="n">
        <f aca="false">INDEX(Parametros!$C$16:$C$18,MATCH($C373,Parametros!$A$16:$A$18,0))</f>
        <v>95</v>
      </c>
      <c r="L373" s="5" t="n">
        <f aca="false">I373*K373</f>
        <v>498.75</v>
      </c>
      <c r="M373" s="5" t="n">
        <v>332</v>
      </c>
      <c r="N373" s="5" t="n">
        <v>328</v>
      </c>
      <c r="O373" s="5" t="n">
        <f aca="false">M373-N373</f>
        <v>4</v>
      </c>
      <c r="P373" s="8" t="n">
        <f aca="false">IFERROR(I373/G373,0)</f>
        <v>1</v>
      </c>
      <c r="Q373" s="8" t="n">
        <f aca="false">IFERROR(M373/L373,0)</f>
        <v>0.665664160401003</v>
      </c>
      <c r="R373" s="8" t="n">
        <f aca="false">IFERROR(N373/M373,0)</f>
        <v>0.987951807228916</v>
      </c>
      <c r="S373" s="8" t="n">
        <f aca="false">P373*Q373*R373</f>
        <v>0.657644110275689</v>
      </c>
    </row>
    <row r="374" customFormat="false" ht="15" hidden="false" customHeight="false" outlineLevel="0" collapsed="false">
      <c r="A374" s="4" t="n">
        <v>46170</v>
      </c>
      <c r="B374" s="5" t="n">
        <f aca="false">MONTH($A374)</f>
        <v>5</v>
      </c>
      <c r="C374" s="5" t="n">
        <v>3</v>
      </c>
      <c r="D374" s="6" t="str">
        <f aca="false">INDEX(Parametros!$B$16:$B$18,MATCH($C374,Parametros!$A$16:$A$18,0))</f>
        <v>E3 - Sellado y etiquetado</v>
      </c>
      <c r="E374" s="7" t="n">
        <f aca="false">IF(WEEKDAY($A374,2)&lt;6,Parametros!$B$21,Parametros!$B$22)</f>
        <v>6</v>
      </c>
      <c r="F374" s="7" t="n">
        <v>0.25</v>
      </c>
      <c r="G374" s="7" t="n">
        <f aca="false">E374-F374</f>
        <v>5.75</v>
      </c>
      <c r="H374" s="7" t="n">
        <v>0</v>
      </c>
      <c r="I374" s="7" t="n">
        <f aca="false">G374-H374</f>
        <v>5.75</v>
      </c>
      <c r="J374" s="6" t="s">
        <v>27</v>
      </c>
      <c r="K374" s="5" t="n">
        <f aca="false">INDEX(Parametros!$C$16:$C$18,MATCH($C374,Parametros!$A$16:$A$18,0))</f>
        <v>95</v>
      </c>
      <c r="L374" s="5" t="n">
        <f aca="false">I374*K374</f>
        <v>546.25</v>
      </c>
      <c r="M374" s="5" t="n">
        <v>328</v>
      </c>
      <c r="N374" s="5" t="n">
        <v>325</v>
      </c>
      <c r="O374" s="5" t="n">
        <f aca="false">M374-N374</f>
        <v>3</v>
      </c>
      <c r="P374" s="8" t="n">
        <f aca="false">IFERROR(I374/G374,0)</f>
        <v>1</v>
      </c>
      <c r="Q374" s="8" t="n">
        <f aca="false">IFERROR(M374/L374,0)</f>
        <v>0.60045766590389</v>
      </c>
      <c r="R374" s="8" t="n">
        <f aca="false">IFERROR(N374/M374,0)</f>
        <v>0.990853658536585</v>
      </c>
      <c r="S374" s="8" t="n">
        <f aca="false">P374*Q374*R374</f>
        <v>0.594965675057208</v>
      </c>
    </row>
    <row r="375" customFormat="false" ht="15" hidden="false" customHeight="false" outlineLevel="0" collapsed="false">
      <c r="A375" s="4" t="n">
        <v>46171</v>
      </c>
      <c r="B375" s="5" t="n">
        <f aca="false">MONTH($A375)</f>
        <v>5</v>
      </c>
      <c r="C375" s="5" t="n">
        <v>1</v>
      </c>
      <c r="D375" s="6" t="str">
        <f aca="false">INDEX(Parametros!$B$16:$B$18,MATCH($C375,Parametros!$A$16:$A$18,0))</f>
        <v>E1 - Lavado y sanitizado de bidones</v>
      </c>
      <c r="E375" s="7" t="n">
        <f aca="false">IF(WEEKDAY($A375,2)&lt;6,Parametros!$B$21,Parametros!$B$22)</f>
        <v>6</v>
      </c>
      <c r="F375" s="7" t="n">
        <v>0.75</v>
      </c>
      <c r="G375" s="7" t="n">
        <f aca="false">E375-F375</f>
        <v>5.25</v>
      </c>
      <c r="H375" s="7" t="n">
        <v>0</v>
      </c>
      <c r="I375" s="7" t="n">
        <f aca="false">G375-H375</f>
        <v>5.25</v>
      </c>
      <c r="J375" s="6" t="s">
        <v>27</v>
      </c>
      <c r="K375" s="5" t="n">
        <f aca="false">INDEX(Parametros!$C$16:$C$18,MATCH($C375,Parametros!$A$16:$A$18,0))</f>
        <v>100</v>
      </c>
      <c r="L375" s="5" t="n">
        <f aca="false">I375*K375</f>
        <v>525</v>
      </c>
      <c r="M375" s="5" t="n">
        <v>275</v>
      </c>
      <c r="N375" s="5" t="n">
        <v>273</v>
      </c>
      <c r="O375" s="5" t="n">
        <f aca="false">M375-N375</f>
        <v>2</v>
      </c>
      <c r="P375" s="8" t="n">
        <f aca="false">IFERROR(I375/G375,0)</f>
        <v>1</v>
      </c>
      <c r="Q375" s="8" t="n">
        <f aca="false">IFERROR(M375/L375,0)</f>
        <v>0.523809523809524</v>
      </c>
      <c r="R375" s="8" t="n">
        <f aca="false">IFERROR(N375/M375,0)</f>
        <v>0.992727272727273</v>
      </c>
      <c r="S375" s="8" t="n">
        <f aca="false">P375*Q375*R375</f>
        <v>0.52</v>
      </c>
    </row>
    <row r="376" customFormat="false" ht="15" hidden="false" customHeight="false" outlineLevel="0" collapsed="false">
      <c r="A376" s="4" t="n">
        <v>46171</v>
      </c>
      <c r="B376" s="5" t="n">
        <f aca="false">MONTH($A376)</f>
        <v>5</v>
      </c>
      <c r="C376" s="5" t="n">
        <v>2</v>
      </c>
      <c r="D376" s="6" t="str">
        <f aca="false">INDEX(Parametros!$B$16:$B$18,MATCH($C376,Parametros!$A$16:$A$18,0))</f>
        <v>E2 - Llenado y tapado</v>
      </c>
      <c r="E376" s="7" t="n">
        <f aca="false">IF(WEEKDAY($A376,2)&lt;6,Parametros!$B$21,Parametros!$B$22)</f>
        <v>6</v>
      </c>
      <c r="F376" s="7" t="n">
        <v>0.75</v>
      </c>
      <c r="G376" s="7" t="n">
        <f aca="false">E376-F376</f>
        <v>5.25</v>
      </c>
      <c r="H376" s="7" t="n">
        <v>0</v>
      </c>
      <c r="I376" s="7" t="n">
        <f aca="false">G376-H376</f>
        <v>5.25</v>
      </c>
      <c r="J376" s="6" t="s">
        <v>27</v>
      </c>
      <c r="K376" s="5" t="n">
        <f aca="false">INDEX(Parametros!$C$16:$C$18,MATCH($C376,Parametros!$A$16:$A$18,0))</f>
        <v>95</v>
      </c>
      <c r="L376" s="5" t="n">
        <f aca="false">I376*K376</f>
        <v>498.75</v>
      </c>
      <c r="M376" s="5" t="n">
        <v>273</v>
      </c>
      <c r="N376" s="5" t="n">
        <v>271</v>
      </c>
      <c r="O376" s="5" t="n">
        <f aca="false">M376-N376</f>
        <v>2</v>
      </c>
      <c r="P376" s="8" t="n">
        <f aca="false">IFERROR(I376/G376,0)</f>
        <v>1</v>
      </c>
      <c r="Q376" s="8" t="n">
        <f aca="false">IFERROR(M376/L376,0)</f>
        <v>0.547368421052632</v>
      </c>
      <c r="R376" s="8" t="n">
        <f aca="false">IFERROR(N376/M376,0)</f>
        <v>0.992673992673993</v>
      </c>
      <c r="S376" s="8" t="n">
        <f aca="false">P376*Q376*R376</f>
        <v>0.543358395989975</v>
      </c>
    </row>
    <row r="377" customFormat="false" ht="15" hidden="false" customHeight="false" outlineLevel="0" collapsed="false">
      <c r="A377" s="4" t="n">
        <v>46171</v>
      </c>
      <c r="B377" s="5" t="n">
        <f aca="false">MONTH($A377)</f>
        <v>5</v>
      </c>
      <c r="C377" s="5" t="n">
        <v>3</v>
      </c>
      <c r="D377" s="6" t="str">
        <f aca="false">INDEX(Parametros!$B$16:$B$18,MATCH($C377,Parametros!$A$16:$A$18,0))</f>
        <v>E3 - Sellado y etiquetado</v>
      </c>
      <c r="E377" s="7" t="n">
        <f aca="false">IF(WEEKDAY($A377,2)&lt;6,Parametros!$B$21,Parametros!$B$22)</f>
        <v>6</v>
      </c>
      <c r="F377" s="7" t="n">
        <v>0.25</v>
      </c>
      <c r="G377" s="7" t="n">
        <f aca="false">E377-F377</f>
        <v>5.75</v>
      </c>
      <c r="H377" s="7" t="n">
        <v>0</v>
      </c>
      <c r="I377" s="7" t="n">
        <f aca="false">G377-H377</f>
        <v>5.75</v>
      </c>
      <c r="J377" s="6" t="s">
        <v>27</v>
      </c>
      <c r="K377" s="5" t="n">
        <f aca="false">INDEX(Parametros!$C$16:$C$18,MATCH($C377,Parametros!$A$16:$A$18,0))</f>
        <v>95</v>
      </c>
      <c r="L377" s="5" t="n">
        <f aca="false">I377*K377</f>
        <v>546.25</v>
      </c>
      <c r="M377" s="5" t="n">
        <v>271</v>
      </c>
      <c r="N377" s="5" t="n">
        <v>270</v>
      </c>
      <c r="O377" s="5" t="n">
        <f aca="false">M377-N377</f>
        <v>1</v>
      </c>
      <c r="P377" s="8" t="n">
        <f aca="false">IFERROR(I377/G377,0)</f>
        <v>1</v>
      </c>
      <c r="Q377" s="8" t="n">
        <f aca="false">IFERROR(M377/L377,0)</f>
        <v>0.496109839816934</v>
      </c>
      <c r="R377" s="8" t="n">
        <f aca="false">IFERROR(N377/M377,0)</f>
        <v>0.996309963099631</v>
      </c>
      <c r="S377" s="8" t="n">
        <f aca="false">P377*Q377*R377</f>
        <v>0.494279176201373</v>
      </c>
    </row>
    <row r="378" customFormat="false" ht="15" hidden="false" customHeight="false" outlineLevel="0" collapsed="false">
      <c r="A378" s="4" t="n">
        <v>46172</v>
      </c>
      <c r="B378" s="5" t="n">
        <f aca="false">MONTH($A378)</f>
        <v>5</v>
      </c>
      <c r="C378" s="5" t="n">
        <v>1</v>
      </c>
      <c r="D378" s="6" t="str">
        <f aca="false">INDEX(Parametros!$B$16:$B$18,MATCH($C378,Parametros!$A$16:$A$18,0))</f>
        <v>E1 - Lavado y sanitizado de bidones</v>
      </c>
      <c r="E378" s="7" t="n">
        <f aca="false">IF(WEEKDAY($A378,2)&lt;6,Parametros!$B$21,Parametros!$B$22)</f>
        <v>4</v>
      </c>
      <c r="F378" s="7" t="n">
        <v>0.75</v>
      </c>
      <c r="G378" s="7" t="n">
        <f aca="false">E378-F378</f>
        <v>3.25</v>
      </c>
      <c r="H378" s="7" t="n">
        <v>1.5</v>
      </c>
      <c r="I378" s="7" t="n">
        <f aca="false">G378-H378</f>
        <v>1.75</v>
      </c>
      <c r="J378" s="6" t="s">
        <v>29</v>
      </c>
      <c r="K378" s="5" t="n">
        <f aca="false">INDEX(Parametros!$C$16:$C$18,MATCH($C378,Parametros!$A$16:$A$18,0))</f>
        <v>100</v>
      </c>
      <c r="L378" s="5" t="n">
        <f aca="false">I378*K378</f>
        <v>175</v>
      </c>
      <c r="M378" s="5" t="n">
        <v>110</v>
      </c>
      <c r="N378" s="5" t="n">
        <v>109</v>
      </c>
      <c r="O378" s="5" t="n">
        <f aca="false">M378-N378</f>
        <v>1</v>
      </c>
      <c r="P378" s="8" t="n">
        <f aca="false">IFERROR(I378/G378,0)</f>
        <v>0.538461538461538</v>
      </c>
      <c r="Q378" s="8" t="n">
        <f aca="false">IFERROR(M378/L378,0)</f>
        <v>0.628571428571429</v>
      </c>
      <c r="R378" s="8" t="n">
        <f aca="false">IFERROR(N378/M378,0)</f>
        <v>0.990909090909091</v>
      </c>
      <c r="S378" s="8" t="n">
        <f aca="false">P378*Q378*R378</f>
        <v>0.335384615384615</v>
      </c>
    </row>
    <row r="379" customFormat="false" ht="15" hidden="false" customHeight="false" outlineLevel="0" collapsed="false">
      <c r="A379" s="4" t="n">
        <v>46172</v>
      </c>
      <c r="B379" s="5" t="n">
        <f aca="false">MONTH($A379)</f>
        <v>5</v>
      </c>
      <c r="C379" s="5" t="n">
        <v>2</v>
      </c>
      <c r="D379" s="6" t="str">
        <f aca="false">INDEX(Parametros!$B$16:$B$18,MATCH($C379,Parametros!$A$16:$A$18,0))</f>
        <v>E2 - Llenado y tapado</v>
      </c>
      <c r="E379" s="7" t="n">
        <f aca="false">IF(WEEKDAY($A379,2)&lt;6,Parametros!$B$21,Parametros!$B$22)</f>
        <v>4</v>
      </c>
      <c r="F379" s="7" t="n">
        <v>1</v>
      </c>
      <c r="G379" s="7" t="n">
        <f aca="false">E379-F379</f>
        <v>3</v>
      </c>
      <c r="H379" s="7" t="n">
        <v>1.5</v>
      </c>
      <c r="I379" s="7" t="n">
        <f aca="false">G379-H379</f>
        <v>1.5</v>
      </c>
      <c r="J379" s="6" t="s">
        <v>28</v>
      </c>
      <c r="K379" s="5" t="n">
        <f aca="false">INDEX(Parametros!$C$16:$C$18,MATCH($C379,Parametros!$A$16:$A$18,0))</f>
        <v>95</v>
      </c>
      <c r="L379" s="5" t="n">
        <f aca="false">I379*K379</f>
        <v>142.5</v>
      </c>
      <c r="M379" s="5" t="n">
        <v>109</v>
      </c>
      <c r="N379" s="5" t="n">
        <v>107</v>
      </c>
      <c r="O379" s="5" t="n">
        <f aca="false">M379-N379</f>
        <v>2</v>
      </c>
      <c r="P379" s="8" t="n">
        <f aca="false">IFERROR(I379/G379,0)</f>
        <v>0.5</v>
      </c>
      <c r="Q379" s="8" t="n">
        <f aca="false">IFERROR(M379/L379,0)</f>
        <v>0.764912280701754</v>
      </c>
      <c r="R379" s="8" t="n">
        <f aca="false">IFERROR(N379/M379,0)</f>
        <v>0.981651376146789</v>
      </c>
      <c r="S379" s="8" t="n">
        <f aca="false">P379*Q379*R379</f>
        <v>0.375438596491228</v>
      </c>
    </row>
    <row r="380" customFormat="false" ht="15" hidden="false" customHeight="false" outlineLevel="0" collapsed="false">
      <c r="A380" s="4" t="n">
        <v>46172</v>
      </c>
      <c r="B380" s="5" t="n">
        <f aca="false">MONTH($A380)</f>
        <v>5</v>
      </c>
      <c r="C380" s="5" t="n">
        <v>3</v>
      </c>
      <c r="D380" s="6" t="str">
        <f aca="false">INDEX(Parametros!$B$16:$B$18,MATCH($C380,Parametros!$A$16:$A$18,0))</f>
        <v>E3 - Sellado y etiquetado</v>
      </c>
      <c r="E380" s="7" t="n">
        <f aca="false">IF(WEEKDAY($A380,2)&lt;6,Parametros!$B$21,Parametros!$B$22)</f>
        <v>4</v>
      </c>
      <c r="F380" s="7" t="n">
        <v>0.75</v>
      </c>
      <c r="G380" s="7" t="n">
        <f aca="false">E380-F380</f>
        <v>3.25</v>
      </c>
      <c r="H380" s="7" t="n">
        <v>1.5</v>
      </c>
      <c r="I380" s="7" t="n">
        <f aca="false">G380-H380</f>
        <v>1.75</v>
      </c>
      <c r="J380" s="6" t="s">
        <v>29</v>
      </c>
      <c r="K380" s="5" t="n">
        <f aca="false">INDEX(Parametros!$C$16:$C$18,MATCH($C380,Parametros!$A$16:$A$18,0))</f>
        <v>95</v>
      </c>
      <c r="L380" s="5" t="n">
        <f aca="false">I380*K380</f>
        <v>166.25</v>
      </c>
      <c r="M380" s="5" t="n">
        <v>107</v>
      </c>
      <c r="N380" s="5" t="n">
        <v>106</v>
      </c>
      <c r="O380" s="5" t="n">
        <f aca="false">M380-N380</f>
        <v>1</v>
      </c>
      <c r="P380" s="8" t="n">
        <f aca="false">IFERROR(I380/G380,0)</f>
        <v>0.538461538461538</v>
      </c>
      <c r="Q380" s="8" t="n">
        <f aca="false">IFERROR(M380/L380,0)</f>
        <v>0.643609022556391</v>
      </c>
      <c r="R380" s="8" t="n">
        <f aca="false">IFERROR(N380/M380,0)</f>
        <v>0.990654205607477</v>
      </c>
      <c r="S380" s="8" t="n">
        <f aca="false">P380*Q380*R380</f>
        <v>0.34331983805668</v>
      </c>
    </row>
    <row r="381" customFormat="false" ht="15" hidden="false" customHeight="false" outlineLevel="0" collapsed="false">
      <c r="A381" s="4" t="n">
        <v>46174</v>
      </c>
      <c r="B381" s="5" t="n">
        <f aca="false">MONTH($A381)</f>
        <v>6</v>
      </c>
      <c r="C381" s="5" t="n">
        <v>1</v>
      </c>
      <c r="D381" s="6" t="str">
        <f aca="false">INDEX(Parametros!$B$16:$B$18,MATCH($C381,Parametros!$A$16:$A$18,0))</f>
        <v>E1 - Lavado y sanitizado de bidones</v>
      </c>
      <c r="E381" s="7" t="n">
        <f aca="false">IF(WEEKDAY($A381,2)&lt;6,Parametros!$B$21,Parametros!$B$22)</f>
        <v>6</v>
      </c>
      <c r="F381" s="7" t="n">
        <v>0.5</v>
      </c>
      <c r="G381" s="7" t="n">
        <f aca="false">E381-F381</f>
        <v>5.5</v>
      </c>
      <c r="H381" s="7" t="n">
        <v>0</v>
      </c>
      <c r="I381" s="7" t="n">
        <f aca="false">G381-H381</f>
        <v>5.5</v>
      </c>
      <c r="J381" s="6" t="s">
        <v>27</v>
      </c>
      <c r="K381" s="5" t="n">
        <f aca="false">INDEX(Parametros!$C$16:$C$18,MATCH($C381,Parametros!$A$16:$A$18,0))</f>
        <v>100</v>
      </c>
      <c r="L381" s="5" t="n">
        <f aca="false">I381*K381</f>
        <v>550</v>
      </c>
      <c r="M381" s="5" t="n">
        <v>281</v>
      </c>
      <c r="N381" s="5" t="n">
        <v>278</v>
      </c>
      <c r="O381" s="5" t="n">
        <f aca="false">M381-N381</f>
        <v>3</v>
      </c>
      <c r="P381" s="8" t="n">
        <f aca="false">IFERROR(I381/G381,0)</f>
        <v>1</v>
      </c>
      <c r="Q381" s="8" t="n">
        <f aca="false">IFERROR(M381/L381,0)</f>
        <v>0.510909090909091</v>
      </c>
      <c r="R381" s="8" t="n">
        <f aca="false">IFERROR(N381/M381,0)</f>
        <v>0.98932384341637</v>
      </c>
      <c r="S381" s="8" t="n">
        <f aca="false">P381*Q381*R381</f>
        <v>0.505454545454545</v>
      </c>
    </row>
    <row r="382" customFormat="false" ht="15" hidden="false" customHeight="false" outlineLevel="0" collapsed="false">
      <c r="A382" s="4" t="n">
        <v>46174</v>
      </c>
      <c r="B382" s="5" t="n">
        <f aca="false">MONTH($A382)</f>
        <v>6</v>
      </c>
      <c r="C382" s="5" t="n">
        <v>2</v>
      </c>
      <c r="D382" s="6" t="str">
        <f aca="false">INDEX(Parametros!$B$16:$B$18,MATCH($C382,Parametros!$A$16:$A$18,0))</f>
        <v>E2 - Llenado y tapado</v>
      </c>
      <c r="E382" s="7" t="n">
        <f aca="false">IF(WEEKDAY($A382,2)&lt;6,Parametros!$B$21,Parametros!$B$22)</f>
        <v>6</v>
      </c>
      <c r="F382" s="7" t="n">
        <v>0.75</v>
      </c>
      <c r="G382" s="7" t="n">
        <f aca="false">E382-F382</f>
        <v>5.25</v>
      </c>
      <c r="H382" s="7" t="n">
        <v>1</v>
      </c>
      <c r="I382" s="7" t="n">
        <f aca="false">G382-H382</f>
        <v>4.25</v>
      </c>
      <c r="J382" s="6" t="s">
        <v>28</v>
      </c>
      <c r="K382" s="5" t="n">
        <f aca="false">INDEX(Parametros!$C$16:$C$18,MATCH($C382,Parametros!$A$16:$A$18,0))</f>
        <v>95</v>
      </c>
      <c r="L382" s="5" t="n">
        <f aca="false">I382*K382</f>
        <v>403.75</v>
      </c>
      <c r="M382" s="5" t="n">
        <v>278</v>
      </c>
      <c r="N382" s="5" t="n">
        <v>275</v>
      </c>
      <c r="O382" s="5" t="n">
        <f aca="false">M382-N382</f>
        <v>3</v>
      </c>
      <c r="P382" s="8" t="n">
        <f aca="false">IFERROR(I382/G382,0)</f>
        <v>0.80952380952381</v>
      </c>
      <c r="Q382" s="8" t="n">
        <f aca="false">IFERROR(M382/L382,0)</f>
        <v>0.688544891640867</v>
      </c>
      <c r="R382" s="8" t="n">
        <f aca="false">IFERROR(N382/M382,0)</f>
        <v>0.989208633093525</v>
      </c>
      <c r="S382" s="8" t="n">
        <f aca="false">P382*Q382*R382</f>
        <v>0.551378446115288</v>
      </c>
    </row>
    <row r="383" customFormat="false" ht="15" hidden="false" customHeight="false" outlineLevel="0" collapsed="false">
      <c r="A383" s="4" t="n">
        <v>46174</v>
      </c>
      <c r="B383" s="5" t="n">
        <f aca="false">MONTH($A383)</f>
        <v>6</v>
      </c>
      <c r="C383" s="5" t="n">
        <v>3</v>
      </c>
      <c r="D383" s="6" t="str">
        <f aca="false">INDEX(Parametros!$B$16:$B$18,MATCH($C383,Parametros!$A$16:$A$18,0))</f>
        <v>E3 - Sellado y etiquetado</v>
      </c>
      <c r="E383" s="7" t="n">
        <f aca="false">IF(WEEKDAY($A383,2)&lt;6,Parametros!$B$21,Parametros!$B$22)</f>
        <v>6</v>
      </c>
      <c r="F383" s="7" t="n">
        <v>0.25</v>
      </c>
      <c r="G383" s="7" t="n">
        <f aca="false">E383-F383</f>
        <v>5.75</v>
      </c>
      <c r="H383" s="7" t="n">
        <v>0.5</v>
      </c>
      <c r="I383" s="7" t="n">
        <f aca="false">G383-H383</f>
        <v>5.25</v>
      </c>
      <c r="J383" s="6" t="s">
        <v>25</v>
      </c>
      <c r="K383" s="5" t="n">
        <f aca="false">INDEX(Parametros!$C$16:$C$18,MATCH($C383,Parametros!$A$16:$A$18,0))</f>
        <v>95</v>
      </c>
      <c r="L383" s="5" t="n">
        <f aca="false">I383*K383</f>
        <v>498.75</v>
      </c>
      <c r="M383" s="5" t="n">
        <v>275</v>
      </c>
      <c r="N383" s="5" t="n">
        <v>273</v>
      </c>
      <c r="O383" s="5" t="n">
        <f aca="false">M383-N383</f>
        <v>2</v>
      </c>
      <c r="P383" s="8" t="n">
        <f aca="false">IFERROR(I383/G383,0)</f>
        <v>0.91304347826087</v>
      </c>
      <c r="Q383" s="8" t="n">
        <f aca="false">IFERROR(M383/L383,0)</f>
        <v>0.551378446115288</v>
      </c>
      <c r="R383" s="8" t="n">
        <f aca="false">IFERROR(N383/M383,0)</f>
        <v>0.992727272727273</v>
      </c>
      <c r="S383" s="8" t="n">
        <f aca="false">P383*Q383*R383</f>
        <v>0.499771167048055</v>
      </c>
    </row>
    <row r="384" customFormat="false" ht="15" hidden="false" customHeight="false" outlineLevel="0" collapsed="false">
      <c r="A384" s="4" t="n">
        <v>46175</v>
      </c>
      <c r="B384" s="5" t="n">
        <f aca="false">MONTH($A384)</f>
        <v>6</v>
      </c>
      <c r="C384" s="5" t="n">
        <v>1</v>
      </c>
      <c r="D384" s="6" t="str">
        <f aca="false">INDEX(Parametros!$B$16:$B$18,MATCH($C384,Parametros!$A$16:$A$18,0))</f>
        <v>E1 - Lavado y sanitizado de bidones</v>
      </c>
      <c r="E384" s="7" t="n">
        <f aca="false">IF(WEEKDAY($A384,2)&lt;6,Parametros!$B$21,Parametros!$B$22)</f>
        <v>6</v>
      </c>
      <c r="F384" s="7" t="n">
        <v>0.5</v>
      </c>
      <c r="G384" s="7" t="n">
        <f aca="false">E384-F384</f>
        <v>5.5</v>
      </c>
      <c r="H384" s="7" t="n">
        <v>1.5</v>
      </c>
      <c r="I384" s="7" t="n">
        <f aca="false">G384-H384</f>
        <v>4</v>
      </c>
      <c r="J384" s="6" t="s">
        <v>29</v>
      </c>
      <c r="K384" s="5" t="n">
        <f aca="false">INDEX(Parametros!$C$16:$C$18,MATCH($C384,Parametros!$A$16:$A$18,0))</f>
        <v>100</v>
      </c>
      <c r="L384" s="5" t="n">
        <f aca="false">I384*K384</f>
        <v>400</v>
      </c>
      <c r="M384" s="5" t="n">
        <v>254</v>
      </c>
      <c r="N384" s="5" t="n">
        <v>250</v>
      </c>
      <c r="O384" s="5" t="n">
        <f aca="false">M384-N384</f>
        <v>4</v>
      </c>
      <c r="P384" s="8" t="n">
        <f aca="false">IFERROR(I384/G384,0)</f>
        <v>0.727272727272727</v>
      </c>
      <c r="Q384" s="8" t="n">
        <f aca="false">IFERROR(M384/L384,0)</f>
        <v>0.635</v>
      </c>
      <c r="R384" s="8" t="n">
        <f aca="false">IFERROR(N384/M384,0)</f>
        <v>0.984251968503937</v>
      </c>
      <c r="S384" s="8" t="n">
        <f aca="false">P384*Q384*R384</f>
        <v>0.454545454545455</v>
      </c>
    </row>
    <row r="385" customFormat="false" ht="15" hidden="false" customHeight="false" outlineLevel="0" collapsed="false">
      <c r="A385" s="4" t="n">
        <v>46175</v>
      </c>
      <c r="B385" s="5" t="n">
        <f aca="false">MONTH($A385)</f>
        <v>6</v>
      </c>
      <c r="C385" s="5" t="n">
        <v>2</v>
      </c>
      <c r="D385" s="6" t="str">
        <f aca="false">INDEX(Parametros!$B$16:$B$18,MATCH($C385,Parametros!$A$16:$A$18,0))</f>
        <v>E2 - Llenado y tapado</v>
      </c>
      <c r="E385" s="7" t="n">
        <f aca="false">IF(WEEKDAY($A385,2)&lt;6,Parametros!$B$21,Parametros!$B$22)</f>
        <v>6</v>
      </c>
      <c r="F385" s="7" t="n">
        <v>0.75</v>
      </c>
      <c r="G385" s="7" t="n">
        <f aca="false">E385-F385</f>
        <v>5.25</v>
      </c>
      <c r="H385" s="7" t="n">
        <v>2.25</v>
      </c>
      <c r="I385" s="7" t="n">
        <f aca="false">G385-H385</f>
        <v>3</v>
      </c>
      <c r="J385" s="6" t="s">
        <v>28</v>
      </c>
      <c r="K385" s="5" t="n">
        <f aca="false">INDEX(Parametros!$C$16:$C$18,MATCH($C385,Parametros!$A$16:$A$18,0))</f>
        <v>95</v>
      </c>
      <c r="L385" s="5" t="n">
        <f aca="false">I385*K385</f>
        <v>285</v>
      </c>
      <c r="M385" s="5" t="n">
        <v>250</v>
      </c>
      <c r="N385" s="5" t="n">
        <v>247</v>
      </c>
      <c r="O385" s="5" t="n">
        <f aca="false">M385-N385</f>
        <v>3</v>
      </c>
      <c r="P385" s="8" t="n">
        <f aca="false">IFERROR(I385/G385,0)</f>
        <v>0.571428571428571</v>
      </c>
      <c r="Q385" s="8" t="n">
        <f aca="false">IFERROR(M385/L385,0)</f>
        <v>0.87719298245614</v>
      </c>
      <c r="R385" s="8" t="n">
        <f aca="false">IFERROR(N385/M385,0)</f>
        <v>0.988</v>
      </c>
      <c r="S385" s="8" t="n">
        <f aca="false">P385*Q385*R385</f>
        <v>0.495238095238095</v>
      </c>
    </row>
    <row r="386" customFormat="false" ht="15" hidden="false" customHeight="false" outlineLevel="0" collapsed="false">
      <c r="A386" s="4" t="n">
        <v>46175</v>
      </c>
      <c r="B386" s="5" t="n">
        <f aca="false">MONTH($A386)</f>
        <v>6</v>
      </c>
      <c r="C386" s="5" t="n">
        <v>3</v>
      </c>
      <c r="D386" s="6" t="str">
        <f aca="false">INDEX(Parametros!$B$16:$B$18,MATCH($C386,Parametros!$A$16:$A$18,0))</f>
        <v>E3 - Sellado y etiquetado</v>
      </c>
      <c r="E386" s="7" t="n">
        <f aca="false">IF(WEEKDAY($A386,2)&lt;6,Parametros!$B$21,Parametros!$B$22)</f>
        <v>6</v>
      </c>
      <c r="F386" s="7" t="n">
        <v>0.25</v>
      </c>
      <c r="G386" s="7" t="n">
        <f aca="false">E386-F386</f>
        <v>5.75</v>
      </c>
      <c r="H386" s="7" t="n">
        <v>1.75</v>
      </c>
      <c r="I386" s="7" t="n">
        <f aca="false">G386-H386</f>
        <v>4</v>
      </c>
      <c r="J386" s="6" t="s">
        <v>30</v>
      </c>
      <c r="K386" s="5" t="n">
        <f aca="false">INDEX(Parametros!$C$16:$C$18,MATCH($C386,Parametros!$A$16:$A$18,0))</f>
        <v>95</v>
      </c>
      <c r="L386" s="5" t="n">
        <f aca="false">I386*K386</f>
        <v>380</v>
      </c>
      <c r="M386" s="5" t="n">
        <v>247</v>
      </c>
      <c r="N386" s="5" t="n">
        <v>245</v>
      </c>
      <c r="O386" s="5" t="n">
        <f aca="false">M386-N386</f>
        <v>2</v>
      </c>
      <c r="P386" s="8" t="n">
        <f aca="false">IFERROR(I386/G386,0)</f>
        <v>0.695652173913044</v>
      </c>
      <c r="Q386" s="8" t="n">
        <f aca="false">IFERROR(M386/L386,0)</f>
        <v>0.65</v>
      </c>
      <c r="R386" s="8" t="n">
        <f aca="false">IFERROR(N386/M386,0)</f>
        <v>0.991902834008097</v>
      </c>
      <c r="S386" s="8" t="n">
        <f aca="false">P386*Q386*R386</f>
        <v>0.448512585812357</v>
      </c>
    </row>
    <row r="387" customFormat="false" ht="15" hidden="false" customHeight="false" outlineLevel="0" collapsed="false">
      <c r="A387" s="4" t="n">
        <v>46176</v>
      </c>
      <c r="B387" s="5" t="n">
        <f aca="false">MONTH($A387)</f>
        <v>6</v>
      </c>
      <c r="C387" s="5" t="n">
        <v>1</v>
      </c>
      <c r="D387" s="6" t="str">
        <f aca="false">INDEX(Parametros!$B$16:$B$18,MATCH($C387,Parametros!$A$16:$A$18,0))</f>
        <v>E1 - Lavado y sanitizado de bidones</v>
      </c>
      <c r="E387" s="7" t="n">
        <f aca="false">IF(WEEKDAY($A387,2)&lt;6,Parametros!$B$21,Parametros!$B$22)</f>
        <v>6</v>
      </c>
      <c r="F387" s="7" t="n">
        <v>0.5</v>
      </c>
      <c r="G387" s="7" t="n">
        <f aca="false">E387-F387</f>
        <v>5.5</v>
      </c>
      <c r="H387" s="7" t="n">
        <v>0</v>
      </c>
      <c r="I387" s="7" t="n">
        <f aca="false">G387-H387</f>
        <v>5.5</v>
      </c>
      <c r="J387" s="6" t="s">
        <v>27</v>
      </c>
      <c r="K387" s="5" t="n">
        <f aca="false">INDEX(Parametros!$C$16:$C$18,MATCH($C387,Parametros!$A$16:$A$18,0))</f>
        <v>100</v>
      </c>
      <c r="L387" s="5" t="n">
        <f aca="false">I387*K387</f>
        <v>550</v>
      </c>
      <c r="M387" s="5" t="n">
        <v>292</v>
      </c>
      <c r="N387" s="5" t="n">
        <v>289</v>
      </c>
      <c r="O387" s="5" t="n">
        <f aca="false">M387-N387</f>
        <v>3</v>
      </c>
      <c r="P387" s="8" t="n">
        <f aca="false">IFERROR(I387/G387,0)</f>
        <v>1</v>
      </c>
      <c r="Q387" s="8" t="n">
        <f aca="false">IFERROR(M387/L387,0)</f>
        <v>0.530909090909091</v>
      </c>
      <c r="R387" s="8" t="n">
        <f aca="false">IFERROR(N387/M387,0)</f>
        <v>0.98972602739726</v>
      </c>
      <c r="S387" s="8" t="n">
        <f aca="false">P387*Q387*R387</f>
        <v>0.525454545454545</v>
      </c>
    </row>
    <row r="388" customFormat="false" ht="15" hidden="false" customHeight="false" outlineLevel="0" collapsed="false">
      <c r="A388" s="4" t="n">
        <v>46176</v>
      </c>
      <c r="B388" s="5" t="n">
        <f aca="false">MONTH($A388)</f>
        <v>6</v>
      </c>
      <c r="C388" s="5" t="n">
        <v>2</v>
      </c>
      <c r="D388" s="6" t="str">
        <f aca="false">INDEX(Parametros!$B$16:$B$18,MATCH($C388,Parametros!$A$16:$A$18,0))</f>
        <v>E2 - Llenado y tapado</v>
      </c>
      <c r="E388" s="7" t="n">
        <f aca="false">IF(WEEKDAY($A388,2)&lt;6,Parametros!$B$21,Parametros!$B$22)</f>
        <v>6</v>
      </c>
      <c r="F388" s="7" t="n">
        <v>0.75</v>
      </c>
      <c r="G388" s="7" t="n">
        <f aca="false">E388-F388</f>
        <v>5.25</v>
      </c>
      <c r="H388" s="7" t="n">
        <v>0.5</v>
      </c>
      <c r="I388" s="7" t="n">
        <f aca="false">G388-H388</f>
        <v>4.75</v>
      </c>
      <c r="J388" s="6" t="s">
        <v>23</v>
      </c>
      <c r="K388" s="5" t="n">
        <f aca="false">INDEX(Parametros!$C$16:$C$18,MATCH($C388,Parametros!$A$16:$A$18,0))</f>
        <v>95</v>
      </c>
      <c r="L388" s="5" t="n">
        <f aca="false">I388*K388</f>
        <v>451.25</v>
      </c>
      <c r="M388" s="5" t="n">
        <v>289</v>
      </c>
      <c r="N388" s="5" t="n">
        <v>282</v>
      </c>
      <c r="O388" s="5" t="n">
        <f aca="false">M388-N388</f>
        <v>7</v>
      </c>
      <c r="P388" s="8" t="n">
        <f aca="false">IFERROR(I388/G388,0)</f>
        <v>0.904761904761905</v>
      </c>
      <c r="Q388" s="8" t="n">
        <f aca="false">IFERROR(M388/L388,0)</f>
        <v>0.640443213296399</v>
      </c>
      <c r="R388" s="8" t="n">
        <f aca="false">IFERROR(N388/M388,0)</f>
        <v>0.975778546712803</v>
      </c>
      <c r="S388" s="8" t="n">
        <f aca="false">P388*Q388*R388</f>
        <v>0.565413533834586</v>
      </c>
    </row>
    <row r="389" customFormat="false" ht="15" hidden="false" customHeight="false" outlineLevel="0" collapsed="false">
      <c r="A389" s="4" t="n">
        <v>46176</v>
      </c>
      <c r="B389" s="5" t="n">
        <f aca="false">MONTH($A389)</f>
        <v>6</v>
      </c>
      <c r="C389" s="5" t="n">
        <v>3</v>
      </c>
      <c r="D389" s="6" t="str">
        <f aca="false">INDEX(Parametros!$B$16:$B$18,MATCH($C389,Parametros!$A$16:$A$18,0))</f>
        <v>E3 - Sellado y etiquetado</v>
      </c>
      <c r="E389" s="7" t="n">
        <f aca="false">IF(WEEKDAY($A389,2)&lt;6,Parametros!$B$21,Parametros!$B$22)</f>
        <v>6</v>
      </c>
      <c r="F389" s="7" t="n">
        <v>0.25</v>
      </c>
      <c r="G389" s="7" t="n">
        <f aca="false">E389-F389</f>
        <v>5.75</v>
      </c>
      <c r="H389" s="7" t="n">
        <v>0</v>
      </c>
      <c r="I389" s="7" t="n">
        <f aca="false">G389-H389</f>
        <v>5.75</v>
      </c>
      <c r="J389" s="6" t="s">
        <v>27</v>
      </c>
      <c r="K389" s="5" t="n">
        <f aca="false">INDEX(Parametros!$C$16:$C$18,MATCH($C389,Parametros!$A$16:$A$18,0))</f>
        <v>95</v>
      </c>
      <c r="L389" s="5" t="n">
        <f aca="false">I389*K389</f>
        <v>546.25</v>
      </c>
      <c r="M389" s="5" t="n">
        <v>282</v>
      </c>
      <c r="N389" s="5" t="n">
        <v>279</v>
      </c>
      <c r="O389" s="5" t="n">
        <f aca="false">M389-N389</f>
        <v>3</v>
      </c>
      <c r="P389" s="8" t="n">
        <f aca="false">IFERROR(I389/G389,0)</f>
        <v>1</v>
      </c>
      <c r="Q389" s="8" t="n">
        <f aca="false">IFERROR(M389/L389,0)</f>
        <v>0.516247139588101</v>
      </c>
      <c r="R389" s="8" t="n">
        <f aca="false">IFERROR(N389/M389,0)</f>
        <v>0.98936170212766</v>
      </c>
      <c r="S389" s="8" t="n">
        <f aca="false">P389*Q389*R389</f>
        <v>0.510755148741419</v>
      </c>
    </row>
    <row r="390" customFormat="false" ht="15" hidden="false" customHeight="false" outlineLevel="0" collapsed="false">
      <c r="A390" s="4" t="n">
        <v>46177</v>
      </c>
      <c r="B390" s="5" t="n">
        <f aca="false">MONTH($A390)</f>
        <v>6</v>
      </c>
      <c r="C390" s="5" t="n">
        <v>1</v>
      </c>
      <c r="D390" s="6" t="str">
        <f aca="false">INDEX(Parametros!$B$16:$B$18,MATCH($C390,Parametros!$A$16:$A$18,0))</f>
        <v>E1 - Lavado y sanitizado de bidones</v>
      </c>
      <c r="E390" s="7" t="n">
        <f aca="false">IF(WEEKDAY($A390,2)&lt;6,Parametros!$B$21,Parametros!$B$22)</f>
        <v>6</v>
      </c>
      <c r="F390" s="7" t="n">
        <v>0.5</v>
      </c>
      <c r="G390" s="7" t="n">
        <f aca="false">E390-F390</f>
        <v>5.5</v>
      </c>
      <c r="H390" s="7" t="n">
        <v>0.5</v>
      </c>
      <c r="I390" s="7" t="n">
        <f aca="false">G390-H390</f>
        <v>5</v>
      </c>
      <c r="J390" s="6" t="s">
        <v>30</v>
      </c>
      <c r="K390" s="5" t="n">
        <f aca="false">INDEX(Parametros!$C$16:$C$18,MATCH($C390,Parametros!$A$16:$A$18,0))</f>
        <v>100</v>
      </c>
      <c r="L390" s="5" t="n">
        <f aca="false">I390*K390</f>
        <v>500</v>
      </c>
      <c r="M390" s="5" t="n">
        <v>297</v>
      </c>
      <c r="N390" s="5" t="n">
        <v>293</v>
      </c>
      <c r="O390" s="5" t="n">
        <f aca="false">M390-N390</f>
        <v>4</v>
      </c>
      <c r="P390" s="8" t="n">
        <f aca="false">IFERROR(I390/G390,0)</f>
        <v>0.909090909090909</v>
      </c>
      <c r="Q390" s="8" t="n">
        <f aca="false">IFERROR(M390/L390,0)</f>
        <v>0.594</v>
      </c>
      <c r="R390" s="8" t="n">
        <f aca="false">IFERROR(N390/M390,0)</f>
        <v>0.986531986531987</v>
      </c>
      <c r="S390" s="8" t="n">
        <f aca="false">P390*Q390*R390</f>
        <v>0.532727272727273</v>
      </c>
    </row>
    <row r="391" customFormat="false" ht="15" hidden="false" customHeight="false" outlineLevel="0" collapsed="false">
      <c r="A391" s="4" t="n">
        <v>46177</v>
      </c>
      <c r="B391" s="5" t="n">
        <f aca="false">MONTH($A391)</f>
        <v>6</v>
      </c>
      <c r="C391" s="5" t="n">
        <v>2</v>
      </c>
      <c r="D391" s="6" t="str">
        <f aca="false">INDEX(Parametros!$B$16:$B$18,MATCH($C391,Parametros!$A$16:$A$18,0))</f>
        <v>E2 - Llenado y tapado</v>
      </c>
      <c r="E391" s="7" t="n">
        <f aca="false">IF(WEEKDAY($A391,2)&lt;6,Parametros!$B$21,Parametros!$B$22)</f>
        <v>6</v>
      </c>
      <c r="F391" s="7" t="n">
        <v>0.75</v>
      </c>
      <c r="G391" s="7" t="n">
        <f aca="false">E391-F391</f>
        <v>5.25</v>
      </c>
      <c r="H391" s="7" t="n">
        <v>0.75</v>
      </c>
      <c r="I391" s="7" t="n">
        <f aca="false">G391-H391</f>
        <v>4.5</v>
      </c>
      <c r="J391" s="6" t="s">
        <v>23</v>
      </c>
      <c r="K391" s="5" t="n">
        <f aca="false">INDEX(Parametros!$C$16:$C$18,MATCH($C391,Parametros!$A$16:$A$18,0))</f>
        <v>95</v>
      </c>
      <c r="L391" s="5" t="n">
        <f aca="false">I391*K391</f>
        <v>427.5</v>
      </c>
      <c r="M391" s="5" t="n">
        <v>293</v>
      </c>
      <c r="N391" s="5" t="n">
        <v>290</v>
      </c>
      <c r="O391" s="5" t="n">
        <f aca="false">M391-N391</f>
        <v>3</v>
      </c>
      <c r="P391" s="8" t="n">
        <f aca="false">IFERROR(I391/G391,0)</f>
        <v>0.857142857142857</v>
      </c>
      <c r="Q391" s="8" t="n">
        <f aca="false">IFERROR(M391/L391,0)</f>
        <v>0.685380116959064</v>
      </c>
      <c r="R391" s="8" t="n">
        <f aca="false">IFERROR(N391/M391,0)</f>
        <v>0.989761092150171</v>
      </c>
      <c r="S391" s="8" t="n">
        <f aca="false">P391*Q391*R391</f>
        <v>0.581453634085213</v>
      </c>
    </row>
    <row r="392" customFormat="false" ht="15" hidden="false" customHeight="false" outlineLevel="0" collapsed="false">
      <c r="A392" s="4" t="n">
        <v>46177</v>
      </c>
      <c r="B392" s="5" t="n">
        <f aca="false">MONTH($A392)</f>
        <v>6</v>
      </c>
      <c r="C392" s="5" t="n">
        <v>3</v>
      </c>
      <c r="D392" s="6" t="str">
        <f aca="false">INDEX(Parametros!$B$16:$B$18,MATCH($C392,Parametros!$A$16:$A$18,0))</f>
        <v>E3 - Sellado y etiquetado</v>
      </c>
      <c r="E392" s="7" t="n">
        <f aca="false">IF(WEEKDAY($A392,2)&lt;6,Parametros!$B$21,Parametros!$B$22)</f>
        <v>6</v>
      </c>
      <c r="F392" s="7" t="n">
        <v>0.25</v>
      </c>
      <c r="G392" s="7" t="n">
        <f aca="false">E392-F392</f>
        <v>5.75</v>
      </c>
      <c r="H392" s="7" t="n">
        <v>0.5</v>
      </c>
      <c r="I392" s="7" t="n">
        <f aca="false">G392-H392</f>
        <v>5.25</v>
      </c>
      <c r="J392" s="6" t="s">
        <v>26</v>
      </c>
      <c r="K392" s="5" t="n">
        <f aca="false">INDEX(Parametros!$C$16:$C$18,MATCH($C392,Parametros!$A$16:$A$18,0))</f>
        <v>95</v>
      </c>
      <c r="L392" s="5" t="n">
        <f aca="false">I392*K392</f>
        <v>498.75</v>
      </c>
      <c r="M392" s="5" t="n">
        <v>290</v>
      </c>
      <c r="N392" s="5" t="n">
        <v>289</v>
      </c>
      <c r="O392" s="5" t="n">
        <f aca="false">M392-N392</f>
        <v>1</v>
      </c>
      <c r="P392" s="8" t="n">
        <f aca="false">IFERROR(I392/G392,0)</f>
        <v>0.91304347826087</v>
      </c>
      <c r="Q392" s="8" t="n">
        <f aca="false">IFERROR(M392/L392,0)</f>
        <v>0.581453634085213</v>
      </c>
      <c r="R392" s="8" t="n">
        <f aca="false">IFERROR(N392/M392,0)</f>
        <v>0.996551724137931</v>
      </c>
      <c r="S392" s="8" t="n">
        <f aca="false">P392*Q392*R392</f>
        <v>0.529061784897025</v>
      </c>
    </row>
    <row r="393" customFormat="false" ht="15" hidden="false" customHeight="false" outlineLevel="0" collapsed="false">
      <c r="A393" s="4" t="n">
        <v>46178</v>
      </c>
      <c r="B393" s="5" t="n">
        <f aca="false">MONTH($A393)</f>
        <v>6</v>
      </c>
      <c r="C393" s="5" t="n">
        <v>1</v>
      </c>
      <c r="D393" s="6" t="str">
        <f aca="false">INDEX(Parametros!$B$16:$B$18,MATCH($C393,Parametros!$A$16:$A$18,0))</f>
        <v>E1 - Lavado y sanitizado de bidones</v>
      </c>
      <c r="E393" s="7" t="n">
        <f aca="false">IF(WEEKDAY($A393,2)&lt;6,Parametros!$B$21,Parametros!$B$22)</f>
        <v>6</v>
      </c>
      <c r="F393" s="7" t="n">
        <v>0.5</v>
      </c>
      <c r="G393" s="7" t="n">
        <f aca="false">E393-F393</f>
        <v>5.5</v>
      </c>
      <c r="H393" s="7" t="n">
        <v>0</v>
      </c>
      <c r="I393" s="7" t="n">
        <f aca="false">G393-H393</f>
        <v>5.5</v>
      </c>
      <c r="J393" s="6" t="s">
        <v>27</v>
      </c>
      <c r="K393" s="5" t="n">
        <f aca="false">INDEX(Parametros!$C$16:$C$18,MATCH($C393,Parametros!$A$16:$A$18,0))</f>
        <v>100</v>
      </c>
      <c r="L393" s="5" t="n">
        <f aca="false">I393*K393</f>
        <v>550</v>
      </c>
      <c r="M393" s="5" t="n">
        <v>260</v>
      </c>
      <c r="N393" s="5" t="n">
        <v>257</v>
      </c>
      <c r="O393" s="5" t="n">
        <f aca="false">M393-N393</f>
        <v>3</v>
      </c>
      <c r="P393" s="8" t="n">
        <f aca="false">IFERROR(I393/G393,0)</f>
        <v>1</v>
      </c>
      <c r="Q393" s="8" t="n">
        <f aca="false">IFERROR(M393/L393,0)</f>
        <v>0.472727272727273</v>
      </c>
      <c r="R393" s="8" t="n">
        <f aca="false">IFERROR(N393/M393,0)</f>
        <v>0.988461538461539</v>
      </c>
      <c r="S393" s="8" t="n">
        <f aca="false">P393*Q393*R393</f>
        <v>0.467272727272727</v>
      </c>
    </row>
    <row r="394" customFormat="false" ht="15" hidden="false" customHeight="false" outlineLevel="0" collapsed="false">
      <c r="A394" s="4" t="n">
        <v>46178</v>
      </c>
      <c r="B394" s="5" t="n">
        <f aca="false">MONTH($A394)</f>
        <v>6</v>
      </c>
      <c r="C394" s="5" t="n">
        <v>2</v>
      </c>
      <c r="D394" s="6" t="str">
        <f aca="false">INDEX(Parametros!$B$16:$B$18,MATCH($C394,Parametros!$A$16:$A$18,0))</f>
        <v>E2 - Llenado y tapado</v>
      </c>
      <c r="E394" s="7" t="n">
        <f aca="false">IF(WEEKDAY($A394,2)&lt;6,Parametros!$B$21,Parametros!$B$22)</f>
        <v>6</v>
      </c>
      <c r="F394" s="7" t="n">
        <v>0.75</v>
      </c>
      <c r="G394" s="7" t="n">
        <f aca="false">E394-F394</f>
        <v>5.25</v>
      </c>
      <c r="H394" s="7" t="n">
        <v>0</v>
      </c>
      <c r="I394" s="7" t="n">
        <f aca="false">G394-H394</f>
        <v>5.25</v>
      </c>
      <c r="J394" s="6" t="s">
        <v>27</v>
      </c>
      <c r="K394" s="5" t="n">
        <f aca="false">INDEX(Parametros!$C$16:$C$18,MATCH($C394,Parametros!$A$16:$A$18,0))</f>
        <v>95</v>
      </c>
      <c r="L394" s="5" t="n">
        <f aca="false">I394*K394</f>
        <v>498.75</v>
      </c>
      <c r="M394" s="5" t="n">
        <v>257</v>
      </c>
      <c r="N394" s="5" t="n">
        <v>252</v>
      </c>
      <c r="O394" s="5" t="n">
        <f aca="false">M394-N394</f>
        <v>5</v>
      </c>
      <c r="P394" s="8" t="n">
        <f aca="false">IFERROR(I394/G394,0)</f>
        <v>1</v>
      </c>
      <c r="Q394" s="8" t="n">
        <f aca="false">IFERROR(M394/L394,0)</f>
        <v>0.515288220551379</v>
      </c>
      <c r="R394" s="8" t="n">
        <f aca="false">IFERROR(N394/M394,0)</f>
        <v>0.980544747081712</v>
      </c>
      <c r="S394" s="8" t="n">
        <f aca="false">P394*Q394*R394</f>
        <v>0.505263157894737</v>
      </c>
    </row>
    <row r="395" customFormat="false" ht="15" hidden="false" customHeight="false" outlineLevel="0" collapsed="false">
      <c r="A395" s="4" t="n">
        <v>46178</v>
      </c>
      <c r="B395" s="5" t="n">
        <f aca="false">MONTH($A395)</f>
        <v>6</v>
      </c>
      <c r="C395" s="5" t="n">
        <v>3</v>
      </c>
      <c r="D395" s="6" t="str">
        <f aca="false">INDEX(Parametros!$B$16:$B$18,MATCH($C395,Parametros!$A$16:$A$18,0))</f>
        <v>E3 - Sellado y etiquetado</v>
      </c>
      <c r="E395" s="7" t="n">
        <f aca="false">IF(WEEKDAY($A395,2)&lt;6,Parametros!$B$21,Parametros!$B$22)</f>
        <v>6</v>
      </c>
      <c r="F395" s="7" t="n">
        <v>0.25</v>
      </c>
      <c r="G395" s="7" t="n">
        <f aca="false">E395-F395</f>
        <v>5.75</v>
      </c>
      <c r="H395" s="7" t="n">
        <v>0.25</v>
      </c>
      <c r="I395" s="7" t="n">
        <f aca="false">G395-H395</f>
        <v>5.5</v>
      </c>
      <c r="J395" s="6" t="s">
        <v>25</v>
      </c>
      <c r="K395" s="5" t="n">
        <f aca="false">INDEX(Parametros!$C$16:$C$18,MATCH($C395,Parametros!$A$16:$A$18,0))</f>
        <v>95</v>
      </c>
      <c r="L395" s="5" t="n">
        <f aca="false">I395*K395</f>
        <v>522.5</v>
      </c>
      <c r="M395" s="5" t="n">
        <v>252</v>
      </c>
      <c r="N395" s="5" t="n">
        <v>249</v>
      </c>
      <c r="O395" s="5" t="n">
        <f aca="false">M395-N395</f>
        <v>3</v>
      </c>
      <c r="P395" s="8" t="n">
        <f aca="false">IFERROR(I395/G395,0)</f>
        <v>0.956521739130435</v>
      </c>
      <c r="Q395" s="8" t="n">
        <f aca="false">IFERROR(M395/L395,0)</f>
        <v>0.482296650717703</v>
      </c>
      <c r="R395" s="8" t="n">
        <f aca="false">IFERROR(N395/M395,0)</f>
        <v>0.988095238095238</v>
      </c>
      <c r="S395" s="8" t="n">
        <f aca="false">P395*Q395*R395</f>
        <v>0.4558352402746</v>
      </c>
    </row>
    <row r="396" customFormat="false" ht="15" hidden="false" customHeight="false" outlineLevel="0" collapsed="false">
      <c r="A396" s="4" t="n">
        <v>46179</v>
      </c>
      <c r="B396" s="5" t="n">
        <f aca="false">MONTH($A396)</f>
        <v>6</v>
      </c>
      <c r="C396" s="5" t="n">
        <v>1</v>
      </c>
      <c r="D396" s="6" t="str">
        <f aca="false">INDEX(Parametros!$B$16:$B$18,MATCH($C396,Parametros!$A$16:$A$18,0))</f>
        <v>E1 - Lavado y sanitizado de bidones</v>
      </c>
      <c r="E396" s="7" t="n">
        <f aca="false">IF(WEEKDAY($A396,2)&lt;6,Parametros!$B$21,Parametros!$B$22)</f>
        <v>4</v>
      </c>
      <c r="F396" s="7" t="n">
        <v>0.75</v>
      </c>
      <c r="G396" s="7" t="n">
        <f aca="false">E396-F396</f>
        <v>3.25</v>
      </c>
      <c r="H396" s="7" t="n">
        <v>0.25</v>
      </c>
      <c r="I396" s="7" t="n">
        <f aca="false">G396-H396</f>
        <v>3</v>
      </c>
      <c r="J396" s="6" t="s">
        <v>30</v>
      </c>
      <c r="K396" s="5" t="n">
        <f aca="false">INDEX(Parametros!$C$16:$C$18,MATCH($C396,Parametros!$A$16:$A$18,0))</f>
        <v>100</v>
      </c>
      <c r="L396" s="5" t="n">
        <f aca="false">I396*K396</f>
        <v>300</v>
      </c>
      <c r="M396" s="5" t="n">
        <v>163</v>
      </c>
      <c r="N396" s="5" t="n">
        <v>160</v>
      </c>
      <c r="O396" s="5" t="n">
        <f aca="false">M396-N396</f>
        <v>3</v>
      </c>
      <c r="P396" s="8" t="n">
        <f aca="false">IFERROR(I396/G396,0)</f>
        <v>0.923076923076923</v>
      </c>
      <c r="Q396" s="8" t="n">
        <f aca="false">IFERROR(M396/L396,0)</f>
        <v>0.543333333333333</v>
      </c>
      <c r="R396" s="8" t="n">
        <f aca="false">IFERROR(N396/M396,0)</f>
        <v>0.98159509202454</v>
      </c>
      <c r="S396" s="8" t="n">
        <f aca="false">P396*Q396*R396</f>
        <v>0.492307692307692</v>
      </c>
    </row>
    <row r="397" customFormat="false" ht="15" hidden="false" customHeight="false" outlineLevel="0" collapsed="false">
      <c r="A397" s="4" t="n">
        <v>46179</v>
      </c>
      <c r="B397" s="5" t="n">
        <f aca="false">MONTH($A397)</f>
        <v>6</v>
      </c>
      <c r="C397" s="5" t="n">
        <v>2</v>
      </c>
      <c r="D397" s="6" t="str">
        <f aca="false">INDEX(Parametros!$B$16:$B$18,MATCH($C397,Parametros!$A$16:$A$18,0))</f>
        <v>E2 - Llenado y tapado</v>
      </c>
      <c r="E397" s="7" t="n">
        <f aca="false">IF(WEEKDAY($A397,2)&lt;6,Parametros!$B$21,Parametros!$B$22)</f>
        <v>4</v>
      </c>
      <c r="F397" s="7" t="n">
        <v>1</v>
      </c>
      <c r="G397" s="7" t="n">
        <f aca="false">E397-F397</f>
        <v>3</v>
      </c>
      <c r="H397" s="7" t="n">
        <v>0</v>
      </c>
      <c r="I397" s="7" t="n">
        <f aca="false">G397-H397</f>
        <v>3</v>
      </c>
      <c r="J397" s="6" t="s">
        <v>27</v>
      </c>
      <c r="K397" s="5" t="n">
        <f aca="false">INDEX(Parametros!$C$16:$C$18,MATCH($C397,Parametros!$A$16:$A$18,0))</f>
        <v>95</v>
      </c>
      <c r="L397" s="5" t="n">
        <f aca="false">I397*K397</f>
        <v>285</v>
      </c>
      <c r="M397" s="5" t="n">
        <v>160</v>
      </c>
      <c r="N397" s="5" t="n">
        <v>157</v>
      </c>
      <c r="O397" s="5" t="n">
        <f aca="false">M397-N397</f>
        <v>3</v>
      </c>
      <c r="P397" s="8" t="n">
        <f aca="false">IFERROR(I397/G397,0)</f>
        <v>1</v>
      </c>
      <c r="Q397" s="8" t="n">
        <f aca="false">IFERROR(M397/L397,0)</f>
        <v>0.56140350877193</v>
      </c>
      <c r="R397" s="8" t="n">
        <f aca="false">IFERROR(N397/M397,0)</f>
        <v>0.98125</v>
      </c>
      <c r="S397" s="8" t="n">
        <f aca="false">P397*Q397*R397</f>
        <v>0.550877192982456</v>
      </c>
    </row>
    <row r="398" customFormat="false" ht="15" hidden="false" customHeight="false" outlineLevel="0" collapsed="false">
      <c r="A398" s="4" t="n">
        <v>46179</v>
      </c>
      <c r="B398" s="5" t="n">
        <f aca="false">MONTH($A398)</f>
        <v>6</v>
      </c>
      <c r="C398" s="5" t="n">
        <v>3</v>
      </c>
      <c r="D398" s="6" t="str">
        <f aca="false">INDEX(Parametros!$B$16:$B$18,MATCH($C398,Parametros!$A$16:$A$18,0))</f>
        <v>E3 - Sellado y etiquetado</v>
      </c>
      <c r="E398" s="7" t="n">
        <f aca="false">IF(WEEKDAY($A398,2)&lt;6,Parametros!$B$21,Parametros!$B$22)</f>
        <v>4</v>
      </c>
      <c r="F398" s="7" t="n">
        <v>0.5</v>
      </c>
      <c r="G398" s="7" t="n">
        <f aca="false">E398-F398</f>
        <v>3.5</v>
      </c>
      <c r="H398" s="7" t="n">
        <v>0.25</v>
      </c>
      <c r="I398" s="7" t="n">
        <f aca="false">G398-H398</f>
        <v>3.25</v>
      </c>
      <c r="J398" s="6" t="s">
        <v>30</v>
      </c>
      <c r="K398" s="5" t="n">
        <f aca="false">INDEX(Parametros!$C$16:$C$18,MATCH($C398,Parametros!$A$16:$A$18,0))</f>
        <v>95</v>
      </c>
      <c r="L398" s="5" t="n">
        <f aca="false">I398*K398</f>
        <v>308.75</v>
      </c>
      <c r="M398" s="5" t="n">
        <v>157</v>
      </c>
      <c r="N398" s="5" t="n">
        <v>155</v>
      </c>
      <c r="O398" s="5" t="n">
        <f aca="false">M398-N398</f>
        <v>2</v>
      </c>
      <c r="P398" s="8" t="n">
        <f aca="false">IFERROR(I398/G398,0)</f>
        <v>0.928571428571429</v>
      </c>
      <c r="Q398" s="8" t="n">
        <f aca="false">IFERROR(M398/L398,0)</f>
        <v>0.508502024291498</v>
      </c>
      <c r="R398" s="8" t="n">
        <f aca="false">IFERROR(N398/M398,0)</f>
        <v>0.987261146496815</v>
      </c>
      <c r="S398" s="8" t="n">
        <f aca="false">P398*Q398*R398</f>
        <v>0.466165413533835</v>
      </c>
    </row>
    <row r="399" customFormat="false" ht="15" hidden="false" customHeight="false" outlineLevel="0" collapsed="false">
      <c r="A399" s="4" t="n">
        <v>46181</v>
      </c>
      <c r="B399" s="5" t="n">
        <f aca="false">MONTH($A399)</f>
        <v>6</v>
      </c>
      <c r="C399" s="5" t="n">
        <v>1</v>
      </c>
      <c r="D399" s="6" t="str">
        <f aca="false">INDEX(Parametros!$B$16:$B$18,MATCH($C399,Parametros!$A$16:$A$18,0))</f>
        <v>E1 - Lavado y sanitizado de bidones</v>
      </c>
      <c r="E399" s="7" t="n">
        <f aca="false">IF(WEEKDAY($A399,2)&lt;6,Parametros!$B$21,Parametros!$B$22)</f>
        <v>6</v>
      </c>
      <c r="F399" s="7" t="n">
        <v>0.5</v>
      </c>
      <c r="G399" s="7" t="n">
        <f aca="false">E399-F399</f>
        <v>5.5</v>
      </c>
      <c r="H399" s="7" t="n">
        <v>0.5</v>
      </c>
      <c r="I399" s="7" t="n">
        <f aca="false">G399-H399</f>
        <v>5</v>
      </c>
      <c r="J399" s="6" t="s">
        <v>22</v>
      </c>
      <c r="K399" s="5" t="n">
        <f aca="false">INDEX(Parametros!$C$16:$C$18,MATCH($C399,Parametros!$A$16:$A$18,0))</f>
        <v>100</v>
      </c>
      <c r="L399" s="5" t="n">
        <f aca="false">I399*K399</f>
        <v>500</v>
      </c>
      <c r="M399" s="5" t="n">
        <v>256</v>
      </c>
      <c r="N399" s="5" t="n">
        <v>253</v>
      </c>
      <c r="O399" s="5" t="n">
        <f aca="false">M399-N399</f>
        <v>3</v>
      </c>
      <c r="P399" s="8" t="n">
        <f aca="false">IFERROR(I399/G399,0)</f>
        <v>0.909090909090909</v>
      </c>
      <c r="Q399" s="8" t="n">
        <f aca="false">IFERROR(M399/L399,0)</f>
        <v>0.512</v>
      </c>
      <c r="R399" s="8" t="n">
        <f aca="false">IFERROR(N399/M399,0)</f>
        <v>0.98828125</v>
      </c>
      <c r="S399" s="8" t="n">
        <f aca="false">P399*Q399*R399</f>
        <v>0.46</v>
      </c>
    </row>
    <row r="400" customFormat="false" ht="15" hidden="false" customHeight="false" outlineLevel="0" collapsed="false">
      <c r="A400" s="4" t="n">
        <v>46181</v>
      </c>
      <c r="B400" s="5" t="n">
        <f aca="false">MONTH($A400)</f>
        <v>6</v>
      </c>
      <c r="C400" s="5" t="n">
        <v>2</v>
      </c>
      <c r="D400" s="6" t="str">
        <f aca="false">INDEX(Parametros!$B$16:$B$18,MATCH($C400,Parametros!$A$16:$A$18,0))</f>
        <v>E2 - Llenado y tapado</v>
      </c>
      <c r="E400" s="7" t="n">
        <f aca="false">IF(WEEKDAY($A400,2)&lt;6,Parametros!$B$21,Parametros!$B$22)</f>
        <v>6</v>
      </c>
      <c r="F400" s="7" t="n">
        <v>0.75</v>
      </c>
      <c r="G400" s="7" t="n">
        <f aca="false">E400-F400</f>
        <v>5.25</v>
      </c>
      <c r="H400" s="7" t="n">
        <v>0.75</v>
      </c>
      <c r="I400" s="7" t="n">
        <f aca="false">G400-H400</f>
        <v>4.5</v>
      </c>
      <c r="J400" s="6" t="s">
        <v>23</v>
      </c>
      <c r="K400" s="5" t="n">
        <f aca="false">INDEX(Parametros!$C$16:$C$18,MATCH($C400,Parametros!$A$16:$A$18,0))</f>
        <v>95</v>
      </c>
      <c r="L400" s="5" t="n">
        <f aca="false">I400*K400</f>
        <v>427.5</v>
      </c>
      <c r="M400" s="5" t="n">
        <v>253</v>
      </c>
      <c r="N400" s="5" t="n">
        <v>245</v>
      </c>
      <c r="O400" s="5" t="n">
        <f aca="false">M400-N400</f>
        <v>8</v>
      </c>
      <c r="P400" s="8" t="n">
        <f aca="false">IFERROR(I400/G400,0)</f>
        <v>0.857142857142857</v>
      </c>
      <c r="Q400" s="8" t="n">
        <f aca="false">IFERROR(M400/L400,0)</f>
        <v>0.591812865497076</v>
      </c>
      <c r="R400" s="8" t="n">
        <f aca="false">IFERROR(N400/M400,0)</f>
        <v>0.968379446640316</v>
      </c>
      <c r="S400" s="8" t="n">
        <f aca="false">P400*Q400*R400</f>
        <v>0.491228070175439</v>
      </c>
    </row>
    <row r="401" customFormat="false" ht="15" hidden="false" customHeight="false" outlineLevel="0" collapsed="false">
      <c r="A401" s="4" t="n">
        <v>46181</v>
      </c>
      <c r="B401" s="5" t="n">
        <f aca="false">MONTH($A401)</f>
        <v>6</v>
      </c>
      <c r="C401" s="5" t="n">
        <v>3</v>
      </c>
      <c r="D401" s="6" t="str">
        <f aca="false">INDEX(Parametros!$B$16:$B$18,MATCH($C401,Parametros!$A$16:$A$18,0))</f>
        <v>E3 - Sellado y etiquetado</v>
      </c>
      <c r="E401" s="7" t="n">
        <f aca="false">IF(WEEKDAY($A401,2)&lt;6,Parametros!$B$21,Parametros!$B$22)</f>
        <v>6</v>
      </c>
      <c r="F401" s="7" t="n">
        <v>0.25</v>
      </c>
      <c r="G401" s="7" t="n">
        <f aca="false">E401-F401</f>
        <v>5.75</v>
      </c>
      <c r="H401" s="7" t="n">
        <v>0.25</v>
      </c>
      <c r="I401" s="7" t="n">
        <f aca="false">G401-H401</f>
        <v>5.5</v>
      </c>
      <c r="J401" s="6" t="s">
        <v>23</v>
      </c>
      <c r="K401" s="5" t="n">
        <f aca="false">INDEX(Parametros!$C$16:$C$18,MATCH($C401,Parametros!$A$16:$A$18,0))</f>
        <v>95</v>
      </c>
      <c r="L401" s="5" t="n">
        <f aca="false">I401*K401</f>
        <v>522.5</v>
      </c>
      <c r="M401" s="5" t="n">
        <v>245</v>
      </c>
      <c r="N401" s="5" t="n">
        <v>243</v>
      </c>
      <c r="O401" s="5" t="n">
        <f aca="false">M401-N401</f>
        <v>2</v>
      </c>
      <c r="P401" s="8" t="n">
        <f aca="false">IFERROR(I401/G401,0)</f>
        <v>0.956521739130435</v>
      </c>
      <c r="Q401" s="8" t="n">
        <f aca="false">IFERROR(M401/L401,0)</f>
        <v>0.468899521531101</v>
      </c>
      <c r="R401" s="8" t="n">
        <f aca="false">IFERROR(N401/M401,0)</f>
        <v>0.991836734693878</v>
      </c>
      <c r="S401" s="8" t="n">
        <f aca="false">P401*Q401*R401</f>
        <v>0.444851258581236</v>
      </c>
    </row>
    <row r="402" customFormat="false" ht="15" hidden="false" customHeight="false" outlineLevel="0" collapsed="false">
      <c r="A402" s="4" t="n">
        <v>46182</v>
      </c>
      <c r="B402" s="5" t="n">
        <f aca="false">MONTH($A402)</f>
        <v>6</v>
      </c>
      <c r="C402" s="5" t="n">
        <v>1</v>
      </c>
      <c r="D402" s="6" t="str">
        <f aca="false">INDEX(Parametros!$B$16:$B$18,MATCH($C402,Parametros!$A$16:$A$18,0))</f>
        <v>E1 - Lavado y sanitizado de bidones</v>
      </c>
      <c r="E402" s="7" t="n">
        <f aca="false">IF(WEEKDAY($A402,2)&lt;6,Parametros!$B$21,Parametros!$B$22)</f>
        <v>6</v>
      </c>
      <c r="F402" s="7" t="n">
        <v>0.5</v>
      </c>
      <c r="G402" s="7" t="n">
        <f aca="false">E402-F402</f>
        <v>5.5</v>
      </c>
      <c r="H402" s="7" t="n">
        <v>0.5</v>
      </c>
      <c r="I402" s="7" t="n">
        <f aca="false">G402-H402</f>
        <v>5</v>
      </c>
      <c r="J402" s="6" t="s">
        <v>24</v>
      </c>
      <c r="K402" s="5" t="n">
        <f aca="false">INDEX(Parametros!$C$16:$C$18,MATCH($C402,Parametros!$A$16:$A$18,0))</f>
        <v>100</v>
      </c>
      <c r="L402" s="5" t="n">
        <f aca="false">I402*K402</f>
        <v>500</v>
      </c>
      <c r="M402" s="5" t="n">
        <v>280</v>
      </c>
      <c r="N402" s="5" t="n">
        <v>277</v>
      </c>
      <c r="O402" s="5" t="n">
        <f aca="false">M402-N402</f>
        <v>3</v>
      </c>
      <c r="P402" s="8" t="n">
        <f aca="false">IFERROR(I402/G402,0)</f>
        <v>0.909090909090909</v>
      </c>
      <c r="Q402" s="8" t="n">
        <f aca="false">IFERROR(M402/L402,0)</f>
        <v>0.56</v>
      </c>
      <c r="R402" s="8" t="n">
        <f aca="false">IFERROR(N402/M402,0)</f>
        <v>0.989285714285714</v>
      </c>
      <c r="S402" s="8" t="n">
        <f aca="false">P402*Q402*R402</f>
        <v>0.503636363636364</v>
      </c>
    </row>
    <row r="403" customFormat="false" ht="15" hidden="false" customHeight="false" outlineLevel="0" collapsed="false">
      <c r="A403" s="4" t="n">
        <v>46182</v>
      </c>
      <c r="B403" s="5" t="n">
        <f aca="false">MONTH($A403)</f>
        <v>6</v>
      </c>
      <c r="C403" s="5" t="n">
        <v>2</v>
      </c>
      <c r="D403" s="6" t="str">
        <f aca="false">INDEX(Parametros!$B$16:$B$18,MATCH($C403,Parametros!$A$16:$A$18,0))</f>
        <v>E2 - Llenado y tapado</v>
      </c>
      <c r="E403" s="7" t="n">
        <f aca="false">IF(WEEKDAY($A403,2)&lt;6,Parametros!$B$21,Parametros!$B$22)</f>
        <v>6</v>
      </c>
      <c r="F403" s="7" t="n">
        <v>0.75</v>
      </c>
      <c r="G403" s="7" t="n">
        <f aca="false">E403-F403</f>
        <v>5.25</v>
      </c>
      <c r="H403" s="7" t="n">
        <v>1</v>
      </c>
      <c r="I403" s="7" t="n">
        <f aca="false">G403-H403</f>
        <v>4.25</v>
      </c>
      <c r="J403" s="6" t="s">
        <v>28</v>
      </c>
      <c r="K403" s="5" t="n">
        <f aca="false">INDEX(Parametros!$C$16:$C$18,MATCH($C403,Parametros!$A$16:$A$18,0))</f>
        <v>95</v>
      </c>
      <c r="L403" s="5" t="n">
        <f aca="false">I403*K403</f>
        <v>403.75</v>
      </c>
      <c r="M403" s="5" t="n">
        <v>277</v>
      </c>
      <c r="N403" s="5" t="n">
        <v>268</v>
      </c>
      <c r="O403" s="5" t="n">
        <f aca="false">M403-N403</f>
        <v>9</v>
      </c>
      <c r="P403" s="8" t="n">
        <f aca="false">IFERROR(I403/G403,0)</f>
        <v>0.80952380952381</v>
      </c>
      <c r="Q403" s="8" t="n">
        <f aca="false">IFERROR(M403/L403,0)</f>
        <v>0.686068111455108</v>
      </c>
      <c r="R403" s="8" t="n">
        <f aca="false">IFERROR(N403/M403,0)</f>
        <v>0.967509025270758</v>
      </c>
      <c r="S403" s="8" t="n">
        <f aca="false">P403*Q403*R403</f>
        <v>0.53734335839599</v>
      </c>
    </row>
    <row r="404" customFormat="false" ht="15" hidden="false" customHeight="false" outlineLevel="0" collapsed="false">
      <c r="A404" s="4" t="n">
        <v>46182</v>
      </c>
      <c r="B404" s="5" t="n">
        <f aca="false">MONTH($A404)</f>
        <v>6</v>
      </c>
      <c r="C404" s="5" t="n">
        <v>3</v>
      </c>
      <c r="D404" s="6" t="str">
        <f aca="false">INDEX(Parametros!$B$16:$B$18,MATCH($C404,Parametros!$A$16:$A$18,0))</f>
        <v>E3 - Sellado y etiquetado</v>
      </c>
      <c r="E404" s="7" t="n">
        <f aca="false">IF(WEEKDAY($A404,2)&lt;6,Parametros!$B$21,Parametros!$B$22)</f>
        <v>6</v>
      </c>
      <c r="F404" s="7" t="n">
        <v>0.25</v>
      </c>
      <c r="G404" s="7" t="n">
        <f aca="false">E404-F404</f>
        <v>5.75</v>
      </c>
      <c r="H404" s="7" t="n">
        <v>0</v>
      </c>
      <c r="I404" s="7" t="n">
        <f aca="false">G404-H404</f>
        <v>5.75</v>
      </c>
      <c r="J404" s="6" t="s">
        <v>27</v>
      </c>
      <c r="K404" s="5" t="n">
        <f aca="false">INDEX(Parametros!$C$16:$C$18,MATCH($C404,Parametros!$A$16:$A$18,0))</f>
        <v>95</v>
      </c>
      <c r="L404" s="5" t="n">
        <f aca="false">I404*K404</f>
        <v>546.25</v>
      </c>
      <c r="M404" s="5" t="n">
        <v>268</v>
      </c>
      <c r="N404" s="5" t="n">
        <v>264</v>
      </c>
      <c r="O404" s="5" t="n">
        <f aca="false">M404-N404</f>
        <v>4</v>
      </c>
      <c r="P404" s="8" t="n">
        <f aca="false">IFERROR(I404/G404,0)</f>
        <v>1</v>
      </c>
      <c r="Q404" s="8" t="n">
        <f aca="false">IFERROR(M404/L404,0)</f>
        <v>0.490617848970252</v>
      </c>
      <c r="R404" s="8" t="n">
        <f aca="false">IFERROR(N404/M404,0)</f>
        <v>0.985074626865672</v>
      </c>
      <c r="S404" s="8" t="n">
        <f aca="false">P404*Q404*R404</f>
        <v>0.483295194508009</v>
      </c>
    </row>
    <row r="405" customFormat="false" ht="15" hidden="false" customHeight="false" outlineLevel="0" collapsed="false">
      <c r="A405" s="4" t="n">
        <v>46183</v>
      </c>
      <c r="B405" s="5" t="n">
        <f aca="false">MONTH($A405)</f>
        <v>6</v>
      </c>
      <c r="C405" s="5" t="n">
        <v>1</v>
      </c>
      <c r="D405" s="6" t="str">
        <f aca="false">INDEX(Parametros!$B$16:$B$18,MATCH($C405,Parametros!$A$16:$A$18,0))</f>
        <v>E1 - Lavado y sanitizado de bidones</v>
      </c>
      <c r="E405" s="7" t="n">
        <f aca="false">IF(WEEKDAY($A405,2)&lt;6,Parametros!$B$21,Parametros!$B$22)</f>
        <v>6</v>
      </c>
      <c r="F405" s="7" t="n">
        <v>0.5</v>
      </c>
      <c r="G405" s="7" t="n">
        <f aca="false">E405-F405</f>
        <v>5.5</v>
      </c>
      <c r="H405" s="7" t="n">
        <v>0</v>
      </c>
      <c r="I405" s="7" t="n">
        <f aca="false">G405-H405</f>
        <v>5.5</v>
      </c>
      <c r="J405" s="6" t="s">
        <v>27</v>
      </c>
      <c r="K405" s="5" t="n">
        <f aca="false">INDEX(Parametros!$C$16:$C$18,MATCH($C405,Parametros!$A$16:$A$18,0))</f>
        <v>100</v>
      </c>
      <c r="L405" s="5" t="n">
        <f aca="false">I405*K405</f>
        <v>550</v>
      </c>
      <c r="M405" s="5" t="n">
        <v>283</v>
      </c>
      <c r="N405" s="5" t="n">
        <v>282</v>
      </c>
      <c r="O405" s="5" t="n">
        <f aca="false">M405-N405</f>
        <v>1</v>
      </c>
      <c r="P405" s="8" t="n">
        <f aca="false">IFERROR(I405/G405,0)</f>
        <v>1</v>
      </c>
      <c r="Q405" s="8" t="n">
        <f aca="false">IFERROR(M405/L405,0)</f>
        <v>0.514545454545455</v>
      </c>
      <c r="R405" s="8" t="n">
        <f aca="false">IFERROR(N405/M405,0)</f>
        <v>0.996466431095406</v>
      </c>
      <c r="S405" s="8" t="n">
        <f aca="false">P405*Q405*R405</f>
        <v>0.512727272727273</v>
      </c>
    </row>
    <row r="406" customFormat="false" ht="15" hidden="false" customHeight="false" outlineLevel="0" collapsed="false">
      <c r="A406" s="4" t="n">
        <v>46183</v>
      </c>
      <c r="B406" s="5" t="n">
        <f aca="false">MONTH($A406)</f>
        <v>6</v>
      </c>
      <c r="C406" s="5" t="n">
        <v>2</v>
      </c>
      <c r="D406" s="6" t="str">
        <f aca="false">INDEX(Parametros!$B$16:$B$18,MATCH($C406,Parametros!$A$16:$A$18,0))</f>
        <v>E2 - Llenado y tapado</v>
      </c>
      <c r="E406" s="7" t="n">
        <f aca="false">IF(WEEKDAY($A406,2)&lt;6,Parametros!$B$21,Parametros!$B$22)</f>
        <v>6</v>
      </c>
      <c r="F406" s="7" t="n">
        <v>0.75</v>
      </c>
      <c r="G406" s="7" t="n">
        <f aca="false">E406-F406</f>
        <v>5.25</v>
      </c>
      <c r="H406" s="7" t="n">
        <v>0.25</v>
      </c>
      <c r="I406" s="7" t="n">
        <f aca="false">G406-H406</f>
        <v>5</v>
      </c>
      <c r="J406" s="6" t="s">
        <v>23</v>
      </c>
      <c r="K406" s="5" t="n">
        <f aca="false">INDEX(Parametros!$C$16:$C$18,MATCH($C406,Parametros!$A$16:$A$18,0))</f>
        <v>95</v>
      </c>
      <c r="L406" s="5" t="n">
        <f aca="false">I406*K406</f>
        <v>475</v>
      </c>
      <c r="M406" s="5" t="n">
        <v>282</v>
      </c>
      <c r="N406" s="5" t="n">
        <v>279</v>
      </c>
      <c r="O406" s="5" t="n">
        <f aca="false">M406-N406</f>
        <v>3</v>
      </c>
      <c r="P406" s="8" t="n">
        <f aca="false">IFERROR(I406/G406,0)</f>
        <v>0.952380952380952</v>
      </c>
      <c r="Q406" s="8" t="n">
        <f aca="false">IFERROR(M406/L406,0)</f>
        <v>0.593684210526316</v>
      </c>
      <c r="R406" s="8" t="n">
        <f aca="false">IFERROR(N406/M406,0)</f>
        <v>0.98936170212766</v>
      </c>
      <c r="S406" s="8" t="n">
        <f aca="false">P406*Q406*R406</f>
        <v>0.559398496240602</v>
      </c>
    </row>
    <row r="407" customFormat="false" ht="15" hidden="false" customHeight="false" outlineLevel="0" collapsed="false">
      <c r="A407" s="4" t="n">
        <v>46183</v>
      </c>
      <c r="B407" s="5" t="n">
        <f aca="false">MONTH($A407)</f>
        <v>6</v>
      </c>
      <c r="C407" s="5" t="n">
        <v>3</v>
      </c>
      <c r="D407" s="6" t="str">
        <f aca="false">INDEX(Parametros!$B$16:$B$18,MATCH($C407,Parametros!$A$16:$A$18,0))</f>
        <v>E3 - Sellado y etiquetado</v>
      </c>
      <c r="E407" s="7" t="n">
        <f aca="false">IF(WEEKDAY($A407,2)&lt;6,Parametros!$B$21,Parametros!$B$22)</f>
        <v>6</v>
      </c>
      <c r="F407" s="7" t="n">
        <v>0.5</v>
      </c>
      <c r="G407" s="7" t="n">
        <f aca="false">E407-F407</f>
        <v>5.5</v>
      </c>
      <c r="H407" s="7" t="n">
        <v>0.5</v>
      </c>
      <c r="I407" s="7" t="n">
        <f aca="false">G407-H407</f>
        <v>5</v>
      </c>
      <c r="J407" s="6" t="s">
        <v>23</v>
      </c>
      <c r="K407" s="5" t="n">
        <f aca="false">INDEX(Parametros!$C$16:$C$18,MATCH($C407,Parametros!$A$16:$A$18,0))</f>
        <v>95</v>
      </c>
      <c r="L407" s="5" t="n">
        <f aca="false">I407*K407</f>
        <v>475</v>
      </c>
      <c r="M407" s="5" t="n">
        <v>279</v>
      </c>
      <c r="N407" s="5" t="n">
        <v>276</v>
      </c>
      <c r="O407" s="5" t="n">
        <f aca="false">M407-N407</f>
        <v>3</v>
      </c>
      <c r="P407" s="8" t="n">
        <f aca="false">IFERROR(I407/G407,0)</f>
        <v>0.909090909090909</v>
      </c>
      <c r="Q407" s="8" t="n">
        <f aca="false">IFERROR(M407/L407,0)</f>
        <v>0.587368421052632</v>
      </c>
      <c r="R407" s="8" t="n">
        <f aca="false">IFERROR(N407/M407,0)</f>
        <v>0.989247311827957</v>
      </c>
      <c r="S407" s="8" t="n">
        <f aca="false">P407*Q407*R407</f>
        <v>0.52822966507177</v>
      </c>
    </row>
    <row r="408" customFormat="false" ht="15" hidden="false" customHeight="false" outlineLevel="0" collapsed="false">
      <c r="A408" s="4" t="n">
        <v>46184</v>
      </c>
      <c r="B408" s="5" t="n">
        <f aca="false">MONTH($A408)</f>
        <v>6</v>
      </c>
      <c r="C408" s="5" t="n">
        <v>1</v>
      </c>
      <c r="D408" s="6" t="str">
        <f aca="false">INDEX(Parametros!$B$16:$B$18,MATCH($C408,Parametros!$A$16:$A$18,0))</f>
        <v>E1 - Lavado y sanitizado de bidones</v>
      </c>
      <c r="E408" s="7" t="n">
        <f aca="false">IF(WEEKDAY($A408,2)&lt;6,Parametros!$B$21,Parametros!$B$22)</f>
        <v>6</v>
      </c>
      <c r="F408" s="7" t="n">
        <v>0.5</v>
      </c>
      <c r="G408" s="7" t="n">
        <f aca="false">E408-F408</f>
        <v>5.5</v>
      </c>
      <c r="H408" s="7" t="n">
        <v>0.25</v>
      </c>
      <c r="I408" s="7" t="n">
        <f aca="false">G408-H408</f>
        <v>5.25</v>
      </c>
      <c r="J408" s="6" t="s">
        <v>24</v>
      </c>
      <c r="K408" s="5" t="n">
        <f aca="false">INDEX(Parametros!$C$16:$C$18,MATCH($C408,Parametros!$A$16:$A$18,0))</f>
        <v>100</v>
      </c>
      <c r="L408" s="5" t="n">
        <f aca="false">I408*K408</f>
        <v>525</v>
      </c>
      <c r="M408" s="5" t="n">
        <v>284</v>
      </c>
      <c r="N408" s="5" t="n">
        <v>280</v>
      </c>
      <c r="O408" s="5" t="n">
        <f aca="false">M408-N408</f>
        <v>4</v>
      </c>
      <c r="P408" s="8" t="n">
        <f aca="false">IFERROR(I408/G408,0)</f>
        <v>0.954545454545455</v>
      </c>
      <c r="Q408" s="8" t="n">
        <f aca="false">IFERROR(M408/L408,0)</f>
        <v>0.540952380952381</v>
      </c>
      <c r="R408" s="8" t="n">
        <f aca="false">IFERROR(N408/M408,0)</f>
        <v>0.985915492957747</v>
      </c>
      <c r="S408" s="8" t="n">
        <f aca="false">P408*Q408*R408</f>
        <v>0.509090909090909</v>
      </c>
    </row>
    <row r="409" customFormat="false" ht="15" hidden="false" customHeight="false" outlineLevel="0" collapsed="false">
      <c r="A409" s="4" t="n">
        <v>46184</v>
      </c>
      <c r="B409" s="5" t="n">
        <f aca="false">MONTH($A409)</f>
        <v>6</v>
      </c>
      <c r="C409" s="5" t="n">
        <v>2</v>
      </c>
      <c r="D409" s="6" t="str">
        <f aca="false">INDEX(Parametros!$B$16:$B$18,MATCH($C409,Parametros!$A$16:$A$18,0))</f>
        <v>E2 - Llenado y tapado</v>
      </c>
      <c r="E409" s="7" t="n">
        <f aca="false">IF(WEEKDAY($A409,2)&lt;6,Parametros!$B$21,Parametros!$B$22)</f>
        <v>6</v>
      </c>
      <c r="F409" s="7" t="n">
        <v>0.75</v>
      </c>
      <c r="G409" s="7" t="n">
        <f aca="false">E409-F409</f>
        <v>5.25</v>
      </c>
      <c r="H409" s="7" t="n">
        <v>1</v>
      </c>
      <c r="I409" s="7" t="n">
        <f aca="false">G409-H409</f>
        <v>4.25</v>
      </c>
      <c r="J409" s="6" t="s">
        <v>28</v>
      </c>
      <c r="K409" s="5" t="n">
        <f aca="false">INDEX(Parametros!$C$16:$C$18,MATCH($C409,Parametros!$A$16:$A$18,0))</f>
        <v>95</v>
      </c>
      <c r="L409" s="5" t="n">
        <f aca="false">I409*K409</f>
        <v>403.75</v>
      </c>
      <c r="M409" s="5" t="n">
        <v>280</v>
      </c>
      <c r="N409" s="5" t="n">
        <v>276</v>
      </c>
      <c r="O409" s="5" t="n">
        <f aca="false">M409-N409</f>
        <v>4</v>
      </c>
      <c r="P409" s="8" t="n">
        <f aca="false">IFERROR(I409/G409,0)</f>
        <v>0.80952380952381</v>
      </c>
      <c r="Q409" s="8" t="n">
        <f aca="false">IFERROR(M409/L409,0)</f>
        <v>0.693498452012384</v>
      </c>
      <c r="R409" s="8" t="n">
        <f aca="false">IFERROR(N409/M409,0)</f>
        <v>0.985714285714286</v>
      </c>
      <c r="S409" s="8" t="n">
        <f aca="false">P409*Q409*R409</f>
        <v>0.553383458646617</v>
      </c>
    </row>
    <row r="410" customFormat="false" ht="15" hidden="false" customHeight="false" outlineLevel="0" collapsed="false">
      <c r="A410" s="4" t="n">
        <v>46184</v>
      </c>
      <c r="B410" s="5" t="n">
        <f aca="false">MONTH($A410)</f>
        <v>6</v>
      </c>
      <c r="C410" s="5" t="n">
        <v>3</v>
      </c>
      <c r="D410" s="6" t="str">
        <f aca="false">INDEX(Parametros!$B$16:$B$18,MATCH($C410,Parametros!$A$16:$A$18,0))</f>
        <v>E3 - Sellado y etiquetado</v>
      </c>
      <c r="E410" s="7" t="n">
        <f aca="false">IF(WEEKDAY($A410,2)&lt;6,Parametros!$B$21,Parametros!$B$22)</f>
        <v>6</v>
      </c>
      <c r="F410" s="7" t="n">
        <v>0.25</v>
      </c>
      <c r="G410" s="7" t="n">
        <f aca="false">E410-F410</f>
        <v>5.75</v>
      </c>
      <c r="H410" s="7" t="n">
        <v>0.25</v>
      </c>
      <c r="I410" s="7" t="n">
        <f aca="false">G410-H410</f>
        <v>5.5</v>
      </c>
      <c r="J410" s="6" t="s">
        <v>23</v>
      </c>
      <c r="K410" s="5" t="n">
        <f aca="false">INDEX(Parametros!$C$16:$C$18,MATCH($C410,Parametros!$A$16:$A$18,0))</f>
        <v>95</v>
      </c>
      <c r="L410" s="5" t="n">
        <f aca="false">I410*K410</f>
        <v>522.5</v>
      </c>
      <c r="M410" s="5" t="n">
        <v>276</v>
      </c>
      <c r="N410" s="5" t="n">
        <v>275</v>
      </c>
      <c r="O410" s="5" t="n">
        <f aca="false">M410-N410</f>
        <v>1</v>
      </c>
      <c r="P410" s="8" t="n">
        <f aca="false">IFERROR(I410/G410,0)</f>
        <v>0.956521739130435</v>
      </c>
      <c r="Q410" s="8" t="n">
        <f aca="false">IFERROR(M410/L410,0)</f>
        <v>0.52822966507177</v>
      </c>
      <c r="R410" s="8" t="n">
        <f aca="false">IFERROR(N410/M410,0)</f>
        <v>0.996376811594203</v>
      </c>
      <c r="S410" s="8" t="n">
        <f aca="false">P410*Q410*R410</f>
        <v>0.503432494279176</v>
      </c>
    </row>
    <row r="411" customFormat="false" ht="15" hidden="false" customHeight="false" outlineLevel="0" collapsed="false">
      <c r="A411" s="4" t="n">
        <v>46185</v>
      </c>
      <c r="B411" s="5" t="n">
        <f aca="false">MONTH($A411)</f>
        <v>6</v>
      </c>
      <c r="C411" s="5" t="n">
        <v>1</v>
      </c>
      <c r="D411" s="6" t="str">
        <f aca="false">INDEX(Parametros!$B$16:$B$18,MATCH($C411,Parametros!$A$16:$A$18,0))</f>
        <v>E1 - Lavado y sanitizado de bidones</v>
      </c>
      <c r="E411" s="7" t="n">
        <f aca="false">IF(WEEKDAY($A411,2)&lt;6,Parametros!$B$21,Parametros!$B$22)</f>
        <v>6</v>
      </c>
      <c r="F411" s="7" t="n">
        <v>0.5</v>
      </c>
      <c r="G411" s="7" t="n">
        <f aca="false">E411-F411</f>
        <v>5.5</v>
      </c>
      <c r="H411" s="7" t="n">
        <v>0</v>
      </c>
      <c r="I411" s="7" t="n">
        <f aca="false">G411-H411</f>
        <v>5.5</v>
      </c>
      <c r="J411" s="6" t="s">
        <v>27</v>
      </c>
      <c r="K411" s="5" t="n">
        <f aca="false">INDEX(Parametros!$C$16:$C$18,MATCH($C411,Parametros!$A$16:$A$18,0))</f>
        <v>100</v>
      </c>
      <c r="L411" s="5" t="n">
        <f aca="false">I411*K411</f>
        <v>550</v>
      </c>
      <c r="M411" s="5" t="n">
        <v>285</v>
      </c>
      <c r="N411" s="5" t="n">
        <v>282</v>
      </c>
      <c r="O411" s="5" t="n">
        <f aca="false">M411-N411</f>
        <v>3</v>
      </c>
      <c r="P411" s="8" t="n">
        <f aca="false">IFERROR(I411/G411,0)</f>
        <v>1</v>
      </c>
      <c r="Q411" s="8" t="n">
        <f aca="false">IFERROR(M411/L411,0)</f>
        <v>0.518181818181818</v>
      </c>
      <c r="R411" s="8" t="n">
        <f aca="false">IFERROR(N411/M411,0)</f>
        <v>0.989473684210526</v>
      </c>
      <c r="S411" s="8" t="n">
        <f aca="false">P411*Q411*R411</f>
        <v>0.512727272727273</v>
      </c>
    </row>
    <row r="412" customFormat="false" ht="15" hidden="false" customHeight="false" outlineLevel="0" collapsed="false">
      <c r="A412" s="4" t="n">
        <v>46185</v>
      </c>
      <c r="B412" s="5" t="n">
        <f aca="false">MONTH($A412)</f>
        <v>6</v>
      </c>
      <c r="C412" s="5" t="n">
        <v>2</v>
      </c>
      <c r="D412" s="6" t="str">
        <f aca="false">INDEX(Parametros!$B$16:$B$18,MATCH($C412,Parametros!$A$16:$A$18,0))</f>
        <v>E2 - Llenado y tapado</v>
      </c>
      <c r="E412" s="7" t="n">
        <f aca="false">IF(WEEKDAY($A412,2)&lt;6,Parametros!$B$21,Parametros!$B$22)</f>
        <v>6</v>
      </c>
      <c r="F412" s="7" t="n">
        <v>0.75</v>
      </c>
      <c r="G412" s="7" t="n">
        <f aca="false">E412-F412</f>
        <v>5.25</v>
      </c>
      <c r="H412" s="7" t="n">
        <v>0.5</v>
      </c>
      <c r="I412" s="7" t="n">
        <f aca="false">G412-H412</f>
        <v>4.75</v>
      </c>
      <c r="J412" s="6" t="s">
        <v>26</v>
      </c>
      <c r="K412" s="5" t="n">
        <f aca="false">INDEX(Parametros!$C$16:$C$18,MATCH($C412,Parametros!$A$16:$A$18,0))</f>
        <v>95</v>
      </c>
      <c r="L412" s="5" t="n">
        <f aca="false">I412*K412</f>
        <v>451.25</v>
      </c>
      <c r="M412" s="5" t="n">
        <v>282</v>
      </c>
      <c r="N412" s="5" t="n">
        <v>275</v>
      </c>
      <c r="O412" s="5" t="n">
        <f aca="false">M412-N412</f>
        <v>7</v>
      </c>
      <c r="P412" s="8" t="n">
        <f aca="false">IFERROR(I412/G412,0)</f>
        <v>0.904761904761905</v>
      </c>
      <c r="Q412" s="8" t="n">
        <f aca="false">IFERROR(M412/L412,0)</f>
        <v>0.624930747922438</v>
      </c>
      <c r="R412" s="8" t="n">
        <f aca="false">IFERROR(N412/M412,0)</f>
        <v>0.975177304964539</v>
      </c>
      <c r="S412" s="8" t="n">
        <f aca="false">P412*Q412*R412</f>
        <v>0.551378446115288</v>
      </c>
    </row>
    <row r="413" customFormat="false" ht="15" hidden="false" customHeight="false" outlineLevel="0" collapsed="false">
      <c r="A413" s="4" t="n">
        <v>46185</v>
      </c>
      <c r="B413" s="5" t="n">
        <f aca="false">MONTH($A413)</f>
        <v>6</v>
      </c>
      <c r="C413" s="5" t="n">
        <v>3</v>
      </c>
      <c r="D413" s="6" t="str">
        <f aca="false">INDEX(Parametros!$B$16:$B$18,MATCH($C413,Parametros!$A$16:$A$18,0))</f>
        <v>E3 - Sellado y etiquetado</v>
      </c>
      <c r="E413" s="7" t="n">
        <f aca="false">IF(WEEKDAY($A413,2)&lt;6,Parametros!$B$21,Parametros!$B$22)</f>
        <v>6</v>
      </c>
      <c r="F413" s="7" t="n">
        <v>0.25</v>
      </c>
      <c r="G413" s="7" t="n">
        <f aca="false">E413-F413</f>
        <v>5.75</v>
      </c>
      <c r="H413" s="7" t="n">
        <v>0</v>
      </c>
      <c r="I413" s="7" t="n">
        <f aca="false">G413-H413</f>
        <v>5.75</v>
      </c>
      <c r="J413" s="6" t="s">
        <v>27</v>
      </c>
      <c r="K413" s="5" t="n">
        <f aca="false">INDEX(Parametros!$C$16:$C$18,MATCH($C413,Parametros!$A$16:$A$18,0))</f>
        <v>95</v>
      </c>
      <c r="L413" s="5" t="n">
        <f aca="false">I413*K413</f>
        <v>546.25</v>
      </c>
      <c r="M413" s="5" t="n">
        <v>275</v>
      </c>
      <c r="N413" s="5" t="n">
        <v>271</v>
      </c>
      <c r="O413" s="5" t="n">
        <f aca="false">M413-N413</f>
        <v>4</v>
      </c>
      <c r="P413" s="8" t="n">
        <f aca="false">IFERROR(I413/G413,0)</f>
        <v>1</v>
      </c>
      <c r="Q413" s="8" t="n">
        <f aca="false">IFERROR(M413/L413,0)</f>
        <v>0.503432494279176</v>
      </c>
      <c r="R413" s="8" t="n">
        <f aca="false">IFERROR(N413/M413,0)</f>
        <v>0.985454545454546</v>
      </c>
      <c r="S413" s="8" t="n">
        <f aca="false">P413*Q413*R413</f>
        <v>0.496109839816934</v>
      </c>
    </row>
    <row r="414" customFormat="false" ht="15" hidden="false" customHeight="false" outlineLevel="0" collapsed="false">
      <c r="A414" s="4" t="n">
        <v>46186</v>
      </c>
      <c r="B414" s="5" t="n">
        <f aca="false">MONTH($A414)</f>
        <v>6</v>
      </c>
      <c r="C414" s="5" t="n">
        <v>1</v>
      </c>
      <c r="D414" s="6" t="str">
        <f aca="false">INDEX(Parametros!$B$16:$B$18,MATCH($C414,Parametros!$A$16:$A$18,0))</f>
        <v>E1 - Lavado y sanitizado de bidones</v>
      </c>
      <c r="E414" s="7" t="n">
        <f aca="false">IF(WEEKDAY($A414,2)&lt;6,Parametros!$B$21,Parametros!$B$22)</f>
        <v>4</v>
      </c>
      <c r="F414" s="7" t="n">
        <v>1</v>
      </c>
      <c r="G414" s="7" t="n">
        <f aca="false">E414-F414</f>
        <v>3</v>
      </c>
      <c r="H414" s="7" t="n">
        <v>0</v>
      </c>
      <c r="I414" s="7" t="n">
        <f aca="false">G414-H414</f>
        <v>3</v>
      </c>
      <c r="J414" s="6" t="s">
        <v>27</v>
      </c>
      <c r="K414" s="5" t="n">
        <f aca="false">INDEX(Parametros!$C$16:$C$18,MATCH($C414,Parametros!$A$16:$A$18,0))</f>
        <v>100</v>
      </c>
      <c r="L414" s="5" t="n">
        <f aca="false">I414*K414</f>
        <v>300</v>
      </c>
      <c r="M414" s="5" t="n">
        <v>173</v>
      </c>
      <c r="N414" s="5" t="n">
        <v>171</v>
      </c>
      <c r="O414" s="5" t="n">
        <f aca="false">M414-N414</f>
        <v>2</v>
      </c>
      <c r="P414" s="8" t="n">
        <f aca="false">IFERROR(I414/G414,0)</f>
        <v>1</v>
      </c>
      <c r="Q414" s="8" t="n">
        <f aca="false">IFERROR(M414/L414,0)</f>
        <v>0.576666666666667</v>
      </c>
      <c r="R414" s="8" t="n">
        <f aca="false">IFERROR(N414/M414,0)</f>
        <v>0.988439306358382</v>
      </c>
      <c r="S414" s="8" t="n">
        <f aca="false">P414*Q414*R414</f>
        <v>0.57</v>
      </c>
    </row>
    <row r="415" customFormat="false" ht="15" hidden="false" customHeight="false" outlineLevel="0" collapsed="false">
      <c r="A415" s="4" t="n">
        <v>46186</v>
      </c>
      <c r="B415" s="5" t="n">
        <f aca="false">MONTH($A415)</f>
        <v>6</v>
      </c>
      <c r="C415" s="5" t="n">
        <v>2</v>
      </c>
      <c r="D415" s="6" t="str">
        <f aca="false">INDEX(Parametros!$B$16:$B$18,MATCH($C415,Parametros!$A$16:$A$18,0))</f>
        <v>E2 - Llenado y tapado</v>
      </c>
      <c r="E415" s="7" t="n">
        <f aca="false">IF(WEEKDAY($A415,2)&lt;6,Parametros!$B$21,Parametros!$B$22)</f>
        <v>4</v>
      </c>
      <c r="F415" s="7" t="n">
        <v>1</v>
      </c>
      <c r="G415" s="7" t="n">
        <f aca="false">E415-F415</f>
        <v>3</v>
      </c>
      <c r="H415" s="7" t="n">
        <v>0</v>
      </c>
      <c r="I415" s="7" t="n">
        <f aca="false">G415-H415</f>
        <v>3</v>
      </c>
      <c r="J415" s="6" t="s">
        <v>27</v>
      </c>
      <c r="K415" s="5" t="n">
        <f aca="false">INDEX(Parametros!$C$16:$C$18,MATCH($C415,Parametros!$A$16:$A$18,0))</f>
        <v>95</v>
      </c>
      <c r="L415" s="5" t="n">
        <f aca="false">I415*K415</f>
        <v>285</v>
      </c>
      <c r="M415" s="5" t="n">
        <v>171</v>
      </c>
      <c r="N415" s="5" t="n">
        <v>168</v>
      </c>
      <c r="O415" s="5" t="n">
        <f aca="false">M415-N415</f>
        <v>3</v>
      </c>
      <c r="P415" s="8" t="n">
        <f aca="false">IFERROR(I415/G415,0)</f>
        <v>1</v>
      </c>
      <c r="Q415" s="8" t="n">
        <f aca="false">IFERROR(M415/L415,0)</f>
        <v>0.6</v>
      </c>
      <c r="R415" s="8" t="n">
        <f aca="false">IFERROR(N415/M415,0)</f>
        <v>0.982456140350877</v>
      </c>
      <c r="S415" s="8" t="n">
        <f aca="false">P415*Q415*R415</f>
        <v>0.589473684210526</v>
      </c>
    </row>
    <row r="416" customFormat="false" ht="15" hidden="false" customHeight="false" outlineLevel="0" collapsed="false">
      <c r="A416" s="4" t="n">
        <v>46186</v>
      </c>
      <c r="B416" s="5" t="n">
        <f aca="false">MONTH($A416)</f>
        <v>6</v>
      </c>
      <c r="C416" s="5" t="n">
        <v>3</v>
      </c>
      <c r="D416" s="6" t="str">
        <f aca="false">INDEX(Parametros!$B$16:$B$18,MATCH($C416,Parametros!$A$16:$A$18,0))</f>
        <v>E3 - Sellado y etiquetado</v>
      </c>
      <c r="E416" s="7" t="n">
        <f aca="false">IF(WEEKDAY($A416,2)&lt;6,Parametros!$B$21,Parametros!$B$22)</f>
        <v>4</v>
      </c>
      <c r="F416" s="7" t="n">
        <v>0.5</v>
      </c>
      <c r="G416" s="7" t="n">
        <f aca="false">E416-F416</f>
        <v>3.5</v>
      </c>
      <c r="H416" s="7" t="n">
        <v>0</v>
      </c>
      <c r="I416" s="7" t="n">
        <f aca="false">G416-H416</f>
        <v>3.5</v>
      </c>
      <c r="J416" s="6" t="s">
        <v>27</v>
      </c>
      <c r="K416" s="5" t="n">
        <f aca="false">INDEX(Parametros!$C$16:$C$18,MATCH($C416,Parametros!$A$16:$A$18,0))</f>
        <v>95</v>
      </c>
      <c r="L416" s="5" t="n">
        <f aca="false">I416*K416</f>
        <v>332.5</v>
      </c>
      <c r="M416" s="5" t="n">
        <v>168</v>
      </c>
      <c r="N416" s="5" t="n">
        <v>166</v>
      </c>
      <c r="O416" s="5" t="n">
        <f aca="false">M416-N416</f>
        <v>2</v>
      </c>
      <c r="P416" s="8" t="n">
        <f aca="false">IFERROR(I416/G416,0)</f>
        <v>1</v>
      </c>
      <c r="Q416" s="8" t="n">
        <f aca="false">IFERROR(M416/L416,0)</f>
        <v>0.505263157894737</v>
      </c>
      <c r="R416" s="8" t="n">
        <f aca="false">IFERROR(N416/M416,0)</f>
        <v>0.988095238095238</v>
      </c>
      <c r="S416" s="8" t="n">
        <f aca="false">P416*Q416*R416</f>
        <v>0.499248120300752</v>
      </c>
    </row>
    <row r="417" customFormat="false" ht="15" hidden="false" customHeight="false" outlineLevel="0" collapsed="false">
      <c r="A417" s="4" t="n">
        <v>46188</v>
      </c>
      <c r="B417" s="5" t="n">
        <f aca="false">MONTH($A417)</f>
        <v>6</v>
      </c>
      <c r="C417" s="5" t="n">
        <v>1</v>
      </c>
      <c r="D417" s="6" t="str">
        <f aca="false">INDEX(Parametros!$B$16:$B$18,MATCH($C417,Parametros!$A$16:$A$18,0))</f>
        <v>E1 - Lavado y sanitizado de bidones</v>
      </c>
      <c r="E417" s="7" t="n">
        <f aca="false">IF(WEEKDAY($A417,2)&lt;6,Parametros!$B$21,Parametros!$B$22)</f>
        <v>6</v>
      </c>
      <c r="F417" s="7" t="n">
        <v>0.5</v>
      </c>
      <c r="G417" s="7" t="n">
        <f aca="false">E417-F417</f>
        <v>5.5</v>
      </c>
      <c r="H417" s="7" t="n">
        <v>0.5</v>
      </c>
      <c r="I417" s="7" t="n">
        <f aca="false">G417-H417</f>
        <v>5</v>
      </c>
      <c r="J417" s="6" t="s">
        <v>24</v>
      </c>
      <c r="K417" s="5" t="n">
        <f aca="false">INDEX(Parametros!$C$16:$C$18,MATCH($C417,Parametros!$A$16:$A$18,0))</f>
        <v>100</v>
      </c>
      <c r="L417" s="5" t="n">
        <f aca="false">I417*K417</f>
        <v>500</v>
      </c>
      <c r="M417" s="5" t="n">
        <v>269</v>
      </c>
      <c r="N417" s="5" t="n">
        <v>267</v>
      </c>
      <c r="O417" s="5" t="n">
        <f aca="false">M417-N417</f>
        <v>2</v>
      </c>
      <c r="P417" s="8" t="n">
        <f aca="false">IFERROR(I417/G417,0)</f>
        <v>0.909090909090909</v>
      </c>
      <c r="Q417" s="8" t="n">
        <f aca="false">IFERROR(M417/L417,0)</f>
        <v>0.538</v>
      </c>
      <c r="R417" s="8" t="n">
        <f aca="false">IFERROR(N417/M417,0)</f>
        <v>0.992565055762082</v>
      </c>
      <c r="S417" s="8" t="n">
        <f aca="false">P417*Q417*R417</f>
        <v>0.485454545454545</v>
      </c>
    </row>
    <row r="418" customFormat="false" ht="15" hidden="false" customHeight="false" outlineLevel="0" collapsed="false">
      <c r="A418" s="4" t="n">
        <v>46188</v>
      </c>
      <c r="B418" s="5" t="n">
        <f aca="false">MONTH($A418)</f>
        <v>6</v>
      </c>
      <c r="C418" s="5" t="n">
        <v>2</v>
      </c>
      <c r="D418" s="6" t="str">
        <f aca="false">INDEX(Parametros!$B$16:$B$18,MATCH($C418,Parametros!$A$16:$A$18,0))</f>
        <v>E2 - Llenado y tapado</v>
      </c>
      <c r="E418" s="7" t="n">
        <f aca="false">IF(WEEKDAY($A418,2)&lt;6,Parametros!$B$21,Parametros!$B$22)</f>
        <v>6</v>
      </c>
      <c r="F418" s="7" t="n">
        <v>0.75</v>
      </c>
      <c r="G418" s="7" t="n">
        <f aca="false">E418-F418</f>
        <v>5.25</v>
      </c>
      <c r="H418" s="7" t="n">
        <v>1</v>
      </c>
      <c r="I418" s="7" t="n">
        <f aca="false">G418-H418</f>
        <v>4.25</v>
      </c>
      <c r="J418" s="6" t="s">
        <v>30</v>
      </c>
      <c r="K418" s="5" t="n">
        <f aca="false">INDEX(Parametros!$C$16:$C$18,MATCH($C418,Parametros!$A$16:$A$18,0))</f>
        <v>95</v>
      </c>
      <c r="L418" s="5" t="n">
        <f aca="false">I418*K418</f>
        <v>403.75</v>
      </c>
      <c r="M418" s="5" t="n">
        <v>267</v>
      </c>
      <c r="N418" s="5" t="n">
        <v>262</v>
      </c>
      <c r="O418" s="5" t="n">
        <f aca="false">M418-N418</f>
        <v>5</v>
      </c>
      <c r="P418" s="8" t="n">
        <f aca="false">IFERROR(I418/G418,0)</f>
        <v>0.80952380952381</v>
      </c>
      <c r="Q418" s="8" t="n">
        <f aca="false">IFERROR(M418/L418,0)</f>
        <v>0.661300309597523</v>
      </c>
      <c r="R418" s="8" t="n">
        <f aca="false">IFERROR(N418/M418,0)</f>
        <v>0.9812734082397</v>
      </c>
      <c r="S418" s="8" t="n">
        <f aca="false">P418*Q418*R418</f>
        <v>0.52531328320802</v>
      </c>
    </row>
    <row r="419" customFormat="false" ht="15" hidden="false" customHeight="false" outlineLevel="0" collapsed="false">
      <c r="A419" s="4" t="n">
        <v>46188</v>
      </c>
      <c r="B419" s="5" t="n">
        <f aca="false">MONTH($A419)</f>
        <v>6</v>
      </c>
      <c r="C419" s="5" t="n">
        <v>3</v>
      </c>
      <c r="D419" s="6" t="str">
        <f aca="false">INDEX(Parametros!$B$16:$B$18,MATCH($C419,Parametros!$A$16:$A$18,0))</f>
        <v>E3 - Sellado y etiquetado</v>
      </c>
      <c r="E419" s="7" t="n">
        <f aca="false">IF(WEEKDAY($A419,2)&lt;6,Parametros!$B$21,Parametros!$B$22)</f>
        <v>6</v>
      </c>
      <c r="F419" s="7" t="n">
        <v>0.25</v>
      </c>
      <c r="G419" s="7" t="n">
        <f aca="false">E419-F419</f>
        <v>5.75</v>
      </c>
      <c r="H419" s="7" t="n">
        <v>0.25</v>
      </c>
      <c r="I419" s="7" t="n">
        <f aca="false">G419-H419</f>
        <v>5.5</v>
      </c>
      <c r="J419" s="6" t="s">
        <v>23</v>
      </c>
      <c r="K419" s="5" t="n">
        <f aca="false">INDEX(Parametros!$C$16:$C$18,MATCH($C419,Parametros!$A$16:$A$18,0))</f>
        <v>95</v>
      </c>
      <c r="L419" s="5" t="n">
        <f aca="false">I419*K419</f>
        <v>522.5</v>
      </c>
      <c r="M419" s="5" t="n">
        <v>262</v>
      </c>
      <c r="N419" s="5" t="n">
        <v>260</v>
      </c>
      <c r="O419" s="5" t="n">
        <f aca="false">M419-N419</f>
        <v>2</v>
      </c>
      <c r="P419" s="8" t="n">
        <f aca="false">IFERROR(I419/G419,0)</f>
        <v>0.956521739130435</v>
      </c>
      <c r="Q419" s="8" t="n">
        <f aca="false">IFERROR(M419/L419,0)</f>
        <v>0.501435406698565</v>
      </c>
      <c r="R419" s="8" t="n">
        <f aca="false">IFERROR(N419/M419,0)</f>
        <v>0.99236641221374</v>
      </c>
      <c r="S419" s="8" t="n">
        <f aca="false">P419*Q419*R419</f>
        <v>0.475972540045767</v>
      </c>
    </row>
    <row r="420" customFormat="false" ht="15" hidden="false" customHeight="false" outlineLevel="0" collapsed="false">
      <c r="A420" s="4" t="n">
        <v>46189</v>
      </c>
      <c r="B420" s="5" t="n">
        <f aca="false">MONTH($A420)</f>
        <v>6</v>
      </c>
      <c r="C420" s="5" t="n">
        <v>1</v>
      </c>
      <c r="D420" s="6" t="str">
        <f aca="false">INDEX(Parametros!$B$16:$B$18,MATCH($C420,Parametros!$A$16:$A$18,0))</f>
        <v>E1 - Lavado y sanitizado de bidones</v>
      </c>
      <c r="E420" s="7" t="n">
        <f aca="false">IF(WEEKDAY($A420,2)&lt;6,Parametros!$B$21,Parametros!$B$22)</f>
        <v>6</v>
      </c>
      <c r="F420" s="7" t="n">
        <v>0.5</v>
      </c>
      <c r="G420" s="7" t="n">
        <f aca="false">E420-F420</f>
        <v>5.5</v>
      </c>
      <c r="H420" s="7" t="n">
        <v>1</v>
      </c>
      <c r="I420" s="7" t="n">
        <f aca="false">G420-H420</f>
        <v>4.5</v>
      </c>
      <c r="J420" s="6" t="s">
        <v>29</v>
      </c>
      <c r="K420" s="5" t="n">
        <f aca="false">INDEX(Parametros!$C$16:$C$18,MATCH($C420,Parametros!$A$16:$A$18,0))</f>
        <v>100</v>
      </c>
      <c r="L420" s="5" t="n">
        <f aca="false">I420*K420</f>
        <v>450</v>
      </c>
      <c r="M420" s="5" t="n">
        <v>276</v>
      </c>
      <c r="N420" s="5" t="n">
        <v>273</v>
      </c>
      <c r="O420" s="5" t="n">
        <f aca="false">M420-N420</f>
        <v>3</v>
      </c>
      <c r="P420" s="8" t="n">
        <f aca="false">IFERROR(I420/G420,0)</f>
        <v>0.818181818181818</v>
      </c>
      <c r="Q420" s="8" t="n">
        <f aca="false">IFERROR(M420/L420,0)</f>
        <v>0.613333333333333</v>
      </c>
      <c r="R420" s="8" t="n">
        <f aca="false">IFERROR(N420/M420,0)</f>
        <v>0.989130434782609</v>
      </c>
      <c r="S420" s="8" t="n">
        <f aca="false">P420*Q420*R420</f>
        <v>0.496363636363636</v>
      </c>
    </row>
    <row r="421" customFormat="false" ht="15" hidden="false" customHeight="false" outlineLevel="0" collapsed="false">
      <c r="A421" s="4" t="n">
        <v>46189</v>
      </c>
      <c r="B421" s="5" t="n">
        <f aca="false">MONTH($A421)</f>
        <v>6</v>
      </c>
      <c r="C421" s="5" t="n">
        <v>2</v>
      </c>
      <c r="D421" s="6" t="str">
        <f aca="false">INDEX(Parametros!$B$16:$B$18,MATCH($C421,Parametros!$A$16:$A$18,0))</f>
        <v>E2 - Llenado y tapado</v>
      </c>
      <c r="E421" s="7" t="n">
        <f aca="false">IF(WEEKDAY($A421,2)&lt;6,Parametros!$B$21,Parametros!$B$22)</f>
        <v>6</v>
      </c>
      <c r="F421" s="7" t="n">
        <v>0.75</v>
      </c>
      <c r="G421" s="7" t="n">
        <f aca="false">E421-F421</f>
        <v>5.25</v>
      </c>
      <c r="H421" s="7" t="n">
        <v>1.5</v>
      </c>
      <c r="I421" s="7" t="n">
        <f aca="false">G421-H421</f>
        <v>3.75</v>
      </c>
      <c r="J421" s="6" t="s">
        <v>23</v>
      </c>
      <c r="K421" s="5" t="n">
        <f aca="false">INDEX(Parametros!$C$16:$C$18,MATCH($C421,Parametros!$A$16:$A$18,0))</f>
        <v>95</v>
      </c>
      <c r="L421" s="5" t="n">
        <f aca="false">I421*K421</f>
        <v>356.25</v>
      </c>
      <c r="M421" s="5" t="n">
        <v>273</v>
      </c>
      <c r="N421" s="5" t="n">
        <v>268</v>
      </c>
      <c r="O421" s="5" t="n">
        <f aca="false">M421-N421</f>
        <v>5</v>
      </c>
      <c r="P421" s="8" t="n">
        <f aca="false">IFERROR(I421/G421,0)</f>
        <v>0.714285714285714</v>
      </c>
      <c r="Q421" s="8" t="n">
        <f aca="false">IFERROR(M421/L421,0)</f>
        <v>0.766315789473684</v>
      </c>
      <c r="R421" s="8" t="n">
        <f aca="false">IFERROR(N421/M421,0)</f>
        <v>0.981684981684982</v>
      </c>
      <c r="S421" s="8" t="n">
        <f aca="false">P421*Q421*R421</f>
        <v>0.53734335839599</v>
      </c>
    </row>
    <row r="422" customFormat="false" ht="15" hidden="false" customHeight="false" outlineLevel="0" collapsed="false">
      <c r="A422" s="4" t="n">
        <v>46189</v>
      </c>
      <c r="B422" s="5" t="n">
        <f aca="false">MONTH($A422)</f>
        <v>6</v>
      </c>
      <c r="C422" s="5" t="n">
        <v>3</v>
      </c>
      <c r="D422" s="6" t="str">
        <f aca="false">INDEX(Parametros!$B$16:$B$18,MATCH($C422,Parametros!$A$16:$A$18,0))</f>
        <v>E3 - Sellado y etiquetado</v>
      </c>
      <c r="E422" s="7" t="n">
        <f aca="false">IF(WEEKDAY($A422,2)&lt;6,Parametros!$B$21,Parametros!$B$22)</f>
        <v>6</v>
      </c>
      <c r="F422" s="7" t="n">
        <v>0.25</v>
      </c>
      <c r="G422" s="7" t="n">
        <f aca="false">E422-F422</f>
        <v>5.75</v>
      </c>
      <c r="H422" s="7" t="n">
        <v>1</v>
      </c>
      <c r="I422" s="7" t="n">
        <f aca="false">G422-H422</f>
        <v>4.75</v>
      </c>
      <c r="J422" s="6" t="s">
        <v>25</v>
      </c>
      <c r="K422" s="5" t="n">
        <f aca="false">INDEX(Parametros!$C$16:$C$18,MATCH($C422,Parametros!$A$16:$A$18,0))</f>
        <v>95</v>
      </c>
      <c r="L422" s="5" t="n">
        <f aca="false">I422*K422</f>
        <v>451.25</v>
      </c>
      <c r="M422" s="5" t="n">
        <v>268</v>
      </c>
      <c r="N422" s="5" t="n">
        <v>265</v>
      </c>
      <c r="O422" s="5" t="n">
        <f aca="false">M422-N422</f>
        <v>3</v>
      </c>
      <c r="P422" s="8" t="n">
        <f aca="false">IFERROR(I422/G422,0)</f>
        <v>0.826086956521739</v>
      </c>
      <c r="Q422" s="8" t="n">
        <f aca="false">IFERROR(M422/L422,0)</f>
        <v>0.593905817174515</v>
      </c>
      <c r="R422" s="8" t="n">
        <f aca="false">IFERROR(N422/M422,0)</f>
        <v>0.988805970149254</v>
      </c>
      <c r="S422" s="8" t="n">
        <f aca="false">P422*Q422*R422</f>
        <v>0.48512585812357</v>
      </c>
    </row>
    <row r="423" customFormat="false" ht="15" hidden="false" customHeight="false" outlineLevel="0" collapsed="false">
      <c r="A423" s="4" t="n">
        <v>46190</v>
      </c>
      <c r="B423" s="5" t="n">
        <f aca="false">MONTH($A423)</f>
        <v>6</v>
      </c>
      <c r="C423" s="5" t="n">
        <v>1</v>
      </c>
      <c r="D423" s="6" t="str">
        <f aca="false">INDEX(Parametros!$B$16:$B$18,MATCH($C423,Parametros!$A$16:$A$18,0))</f>
        <v>E1 - Lavado y sanitizado de bidones</v>
      </c>
      <c r="E423" s="7" t="n">
        <f aca="false">IF(WEEKDAY($A423,2)&lt;6,Parametros!$B$21,Parametros!$B$22)</f>
        <v>6</v>
      </c>
      <c r="F423" s="7" t="n">
        <v>0.5</v>
      </c>
      <c r="G423" s="7" t="n">
        <f aca="false">E423-F423</f>
        <v>5.5</v>
      </c>
      <c r="H423" s="7" t="n">
        <v>1.25</v>
      </c>
      <c r="I423" s="7" t="n">
        <f aca="false">G423-H423</f>
        <v>4.25</v>
      </c>
      <c r="J423" s="6" t="s">
        <v>24</v>
      </c>
      <c r="K423" s="5" t="n">
        <f aca="false">INDEX(Parametros!$C$16:$C$18,MATCH($C423,Parametros!$A$16:$A$18,0))</f>
        <v>100</v>
      </c>
      <c r="L423" s="5" t="n">
        <f aca="false">I423*K423</f>
        <v>425</v>
      </c>
      <c r="M423" s="5" t="n">
        <v>265</v>
      </c>
      <c r="N423" s="5" t="n">
        <v>262</v>
      </c>
      <c r="O423" s="5" t="n">
        <f aca="false">M423-N423</f>
        <v>3</v>
      </c>
      <c r="P423" s="8" t="n">
        <f aca="false">IFERROR(I423/G423,0)</f>
        <v>0.772727272727273</v>
      </c>
      <c r="Q423" s="8" t="n">
        <f aca="false">IFERROR(M423/L423,0)</f>
        <v>0.623529411764706</v>
      </c>
      <c r="R423" s="8" t="n">
        <f aca="false">IFERROR(N423/M423,0)</f>
        <v>0.988679245283019</v>
      </c>
      <c r="S423" s="8" t="n">
        <f aca="false">P423*Q423*R423</f>
        <v>0.476363636363636</v>
      </c>
    </row>
    <row r="424" customFormat="false" ht="15" hidden="false" customHeight="false" outlineLevel="0" collapsed="false">
      <c r="A424" s="4" t="n">
        <v>46190</v>
      </c>
      <c r="B424" s="5" t="n">
        <f aca="false">MONTH($A424)</f>
        <v>6</v>
      </c>
      <c r="C424" s="5" t="n">
        <v>2</v>
      </c>
      <c r="D424" s="6" t="str">
        <f aca="false">INDEX(Parametros!$B$16:$B$18,MATCH($C424,Parametros!$A$16:$A$18,0))</f>
        <v>E2 - Llenado y tapado</v>
      </c>
      <c r="E424" s="7" t="n">
        <f aca="false">IF(WEEKDAY($A424,2)&lt;6,Parametros!$B$21,Parametros!$B$22)</f>
        <v>6</v>
      </c>
      <c r="F424" s="7" t="n">
        <v>0.75</v>
      </c>
      <c r="G424" s="7" t="n">
        <f aca="false">E424-F424</f>
        <v>5.25</v>
      </c>
      <c r="H424" s="7" t="n">
        <v>2</v>
      </c>
      <c r="I424" s="7" t="n">
        <f aca="false">G424-H424</f>
        <v>3.25</v>
      </c>
      <c r="J424" s="6" t="s">
        <v>30</v>
      </c>
      <c r="K424" s="5" t="n">
        <f aca="false">INDEX(Parametros!$C$16:$C$18,MATCH($C424,Parametros!$A$16:$A$18,0))</f>
        <v>95</v>
      </c>
      <c r="L424" s="5" t="n">
        <f aca="false">I424*K424</f>
        <v>308.75</v>
      </c>
      <c r="M424" s="5" t="n">
        <v>262</v>
      </c>
      <c r="N424" s="5" t="n">
        <v>257</v>
      </c>
      <c r="O424" s="5" t="n">
        <f aca="false">M424-N424</f>
        <v>5</v>
      </c>
      <c r="P424" s="8" t="n">
        <f aca="false">IFERROR(I424/G424,0)</f>
        <v>0.619047619047619</v>
      </c>
      <c r="Q424" s="8" t="n">
        <f aca="false">IFERROR(M424/L424,0)</f>
        <v>0.848582995951417</v>
      </c>
      <c r="R424" s="8" t="n">
        <f aca="false">IFERROR(N424/M424,0)</f>
        <v>0.980916030534351</v>
      </c>
      <c r="S424" s="8" t="n">
        <f aca="false">P424*Q424*R424</f>
        <v>0.515288220551379</v>
      </c>
    </row>
    <row r="425" customFormat="false" ht="15" hidden="false" customHeight="false" outlineLevel="0" collapsed="false">
      <c r="A425" s="4" t="n">
        <v>46190</v>
      </c>
      <c r="B425" s="5" t="n">
        <f aca="false">MONTH($A425)</f>
        <v>6</v>
      </c>
      <c r="C425" s="5" t="n">
        <v>3</v>
      </c>
      <c r="D425" s="6" t="str">
        <f aca="false">INDEX(Parametros!$B$16:$B$18,MATCH($C425,Parametros!$A$16:$A$18,0))</f>
        <v>E3 - Sellado y etiquetado</v>
      </c>
      <c r="E425" s="7" t="n">
        <f aca="false">IF(WEEKDAY($A425,2)&lt;6,Parametros!$B$21,Parametros!$B$22)</f>
        <v>6</v>
      </c>
      <c r="F425" s="7" t="n">
        <v>0.25</v>
      </c>
      <c r="G425" s="7" t="n">
        <f aca="false">E425-F425</f>
        <v>5.75</v>
      </c>
      <c r="H425" s="7" t="n">
        <v>1.25</v>
      </c>
      <c r="I425" s="7" t="n">
        <f aca="false">G425-H425</f>
        <v>4.5</v>
      </c>
      <c r="J425" s="6" t="s">
        <v>23</v>
      </c>
      <c r="K425" s="5" t="n">
        <f aca="false">INDEX(Parametros!$C$16:$C$18,MATCH($C425,Parametros!$A$16:$A$18,0))</f>
        <v>95</v>
      </c>
      <c r="L425" s="5" t="n">
        <f aca="false">I425*K425</f>
        <v>427.5</v>
      </c>
      <c r="M425" s="5" t="n">
        <v>257</v>
      </c>
      <c r="N425" s="5" t="n">
        <v>256</v>
      </c>
      <c r="O425" s="5" t="n">
        <f aca="false">M425-N425</f>
        <v>1</v>
      </c>
      <c r="P425" s="8" t="n">
        <f aca="false">IFERROR(I425/G425,0)</f>
        <v>0.782608695652174</v>
      </c>
      <c r="Q425" s="8" t="n">
        <f aca="false">IFERROR(M425/L425,0)</f>
        <v>0.601169590643275</v>
      </c>
      <c r="R425" s="8" t="n">
        <f aca="false">IFERROR(N425/M425,0)</f>
        <v>0.996108949416342</v>
      </c>
      <c r="S425" s="8" t="n">
        <f aca="false">P425*Q425*R425</f>
        <v>0.468649885583524</v>
      </c>
    </row>
    <row r="426" customFormat="false" ht="15" hidden="false" customHeight="false" outlineLevel="0" collapsed="false">
      <c r="A426" s="4" t="n">
        <v>46191</v>
      </c>
      <c r="B426" s="5" t="n">
        <f aca="false">MONTH($A426)</f>
        <v>6</v>
      </c>
      <c r="C426" s="5" t="n">
        <v>1</v>
      </c>
      <c r="D426" s="6" t="str">
        <f aca="false">INDEX(Parametros!$B$16:$B$18,MATCH($C426,Parametros!$A$16:$A$18,0))</f>
        <v>E1 - Lavado y sanitizado de bidones</v>
      </c>
      <c r="E426" s="7" t="n">
        <f aca="false">IF(WEEKDAY($A426,2)&lt;6,Parametros!$B$21,Parametros!$B$22)</f>
        <v>6</v>
      </c>
      <c r="F426" s="7" t="n">
        <v>0.5</v>
      </c>
      <c r="G426" s="7" t="n">
        <f aca="false">E426-F426</f>
        <v>5.5</v>
      </c>
      <c r="H426" s="7" t="n">
        <v>0</v>
      </c>
      <c r="I426" s="7" t="n">
        <f aca="false">G426-H426</f>
        <v>5.5</v>
      </c>
      <c r="J426" s="6" t="s">
        <v>27</v>
      </c>
      <c r="K426" s="5" t="n">
        <f aca="false">INDEX(Parametros!$C$16:$C$18,MATCH($C426,Parametros!$A$16:$A$18,0))</f>
        <v>100</v>
      </c>
      <c r="L426" s="5" t="n">
        <f aca="false">I426*K426</f>
        <v>550</v>
      </c>
      <c r="M426" s="5" t="n">
        <v>261</v>
      </c>
      <c r="N426" s="5" t="n">
        <v>259</v>
      </c>
      <c r="O426" s="5" t="n">
        <f aca="false">M426-N426</f>
        <v>2</v>
      </c>
      <c r="P426" s="8" t="n">
        <f aca="false">IFERROR(I426/G426,0)</f>
        <v>1</v>
      </c>
      <c r="Q426" s="8" t="n">
        <f aca="false">IFERROR(M426/L426,0)</f>
        <v>0.474545454545455</v>
      </c>
      <c r="R426" s="8" t="n">
        <f aca="false">IFERROR(N426/M426,0)</f>
        <v>0.992337164750958</v>
      </c>
      <c r="S426" s="8" t="n">
        <f aca="false">P426*Q426*R426</f>
        <v>0.470909090909091</v>
      </c>
    </row>
    <row r="427" customFormat="false" ht="15" hidden="false" customHeight="false" outlineLevel="0" collapsed="false">
      <c r="A427" s="4" t="n">
        <v>46191</v>
      </c>
      <c r="B427" s="5" t="n">
        <f aca="false">MONTH($A427)</f>
        <v>6</v>
      </c>
      <c r="C427" s="5" t="n">
        <v>2</v>
      </c>
      <c r="D427" s="6" t="str">
        <f aca="false">INDEX(Parametros!$B$16:$B$18,MATCH($C427,Parametros!$A$16:$A$18,0))</f>
        <v>E2 - Llenado y tapado</v>
      </c>
      <c r="E427" s="7" t="n">
        <f aca="false">IF(WEEKDAY($A427,2)&lt;6,Parametros!$B$21,Parametros!$B$22)</f>
        <v>6</v>
      </c>
      <c r="F427" s="7" t="n">
        <v>0.75</v>
      </c>
      <c r="G427" s="7" t="n">
        <f aca="false">E427-F427</f>
        <v>5.25</v>
      </c>
      <c r="H427" s="7" t="n">
        <v>1</v>
      </c>
      <c r="I427" s="7" t="n">
        <f aca="false">G427-H427</f>
        <v>4.25</v>
      </c>
      <c r="J427" s="6" t="s">
        <v>30</v>
      </c>
      <c r="K427" s="5" t="n">
        <f aca="false">INDEX(Parametros!$C$16:$C$18,MATCH($C427,Parametros!$A$16:$A$18,0))</f>
        <v>95</v>
      </c>
      <c r="L427" s="5" t="n">
        <f aca="false">I427*K427</f>
        <v>403.75</v>
      </c>
      <c r="M427" s="5" t="n">
        <v>259</v>
      </c>
      <c r="N427" s="5" t="n">
        <v>254</v>
      </c>
      <c r="O427" s="5" t="n">
        <f aca="false">M427-N427</f>
        <v>5</v>
      </c>
      <c r="P427" s="8" t="n">
        <f aca="false">IFERROR(I427/G427,0)</f>
        <v>0.80952380952381</v>
      </c>
      <c r="Q427" s="8" t="n">
        <f aca="false">IFERROR(M427/L427,0)</f>
        <v>0.641486068111455</v>
      </c>
      <c r="R427" s="8" t="n">
        <f aca="false">IFERROR(N427/M427,0)</f>
        <v>0.980694980694981</v>
      </c>
      <c r="S427" s="8" t="n">
        <f aca="false">P427*Q427*R427</f>
        <v>0.509273182957394</v>
      </c>
    </row>
    <row r="428" customFormat="false" ht="15" hidden="false" customHeight="false" outlineLevel="0" collapsed="false">
      <c r="A428" s="4" t="n">
        <v>46191</v>
      </c>
      <c r="B428" s="5" t="n">
        <f aca="false">MONTH($A428)</f>
        <v>6</v>
      </c>
      <c r="C428" s="5" t="n">
        <v>3</v>
      </c>
      <c r="D428" s="6" t="str">
        <f aca="false">INDEX(Parametros!$B$16:$B$18,MATCH($C428,Parametros!$A$16:$A$18,0))</f>
        <v>E3 - Sellado y etiquetado</v>
      </c>
      <c r="E428" s="7" t="n">
        <f aca="false">IF(WEEKDAY($A428,2)&lt;6,Parametros!$B$21,Parametros!$B$22)</f>
        <v>6</v>
      </c>
      <c r="F428" s="7" t="n">
        <v>0.25</v>
      </c>
      <c r="G428" s="7" t="n">
        <f aca="false">E428-F428</f>
        <v>5.75</v>
      </c>
      <c r="H428" s="7" t="n">
        <v>0</v>
      </c>
      <c r="I428" s="7" t="n">
        <f aca="false">G428-H428</f>
        <v>5.75</v>
      </c>
      <c r="J428" s="6" t="s">
        <v>27</v>
      </c>
      <c r="K428" s="5" t="n">
        <f aca="false">INDEX(Parametros!$C$16:$C$18,MATCH($C428,Parametros!$A$16:$A$18,0))</f>
        <v>95</v>
      </c>
      <c r="L428" s="5" t="n">
        <f aca="false">I428*K428</f>
        <v>546.25</v>
      </c>
      <c r="M428" s="5" t="n">
        <v>254</v>
      </c>
      <c r="N428" s="5" t="n">
        <v>252</v>
      </c>
      <c r="O428" s="5" t="n">
        <f aca="false">M428-N428</f>
        <v>2</v>
      </c>
      <c r="P428" s="8" t="n">
        <f aca="false">IFERROR(I428/G428,0)</f>
        <v>1</v>
      </c>
      <c r="Q428" s="8" t="n">
        <f aca="false">IFERROR(M428/L428,0)</f>
        <v>0.464988558352403</v>
      </c>
      <c r="R428" s="8" t="n">
        <f aca="false">IFERROR(N428/M428,0)</f>
        <v>0.992125984251969</v>
      </c>
      <c r="S428" s="8" t="n">
        <f aca="false">P428*Q428*R428</f>
        <v>0.461327231121282</v>
      </c>
    </row>
    <row r="429" customFormat="false" ht="15" hidden="false" customHeight="false" outlineLevel="0" collapsed="false">
      <c r="A429" s="4" t="n">
        <v>46192</v>
      </c>
      <c r="B429" s="5" t="n">
        <f aca="false">MONTH($A429)</f>
        <v>6</v>
      </c>
      <c r="C429" s="5" t="n">
        <v>1</v>
      </c>
      <c r="D429" s="6" t="str">
        <f aca="false">INDEX(Parametros!$B$16:$B$18,MATCH($C429,Parametros!$A$16:$A$18,0))</f>
        <v>E1 - Lavado y sanitizado de bidones</v>
      </c>
      <c r="E429" s="7" t="n">
        <f aca="false">IF(WEEKDAY($A429,2)&lt;6,Parametros!$B$21,Parametros!$B$22)</f>
        <v>6</v>
      </c>
      <c r="F429" s="7" t="n">
        <v>0.5</v>
      </c>
      <c r="G429" s="7" t="n">
        <f aca="false">E429-F429</f>
        <v>5.5</v>
      </c>
      <c r="H429" s="7" t="n">
        <v>0</v>
      </c>
      <c r="I429" s="7" t="n">
        <f aca="false">G429-H429</f>
        <v>5.5</v>
      </c>
      <c r="J429" s="6" t="s">
        <v>27</v>
      </c>
      <c r="K429" s="5" t="n">
        <f aca="false">INDEX(Parametros!$C$16:$C$18,MATCH($C429,Parametros!$A$16:$A$18,0))</f>
        <v>100</v>
      </c>
      <c r="L429" s="5" t="n">
        <f aca="false">I429*K429</f>
        <v>550</v>
      </c>
      <c r="M429" s="5" t="n">
        <v>252</v>
      </c>
      <c r="N429" s="5" t="n">
        <v>250</v>
      </c>
      <c r="O429" s="5" t="n">
        <f aca="false">M429-N429</f>
        <v>2</v>
      </c>
      <c r="P429" s="8" t="n">
        <f aca="false">IFERROR(I429/G429,0)</f>
        <v>1</v>
      </c>
      <c r="Q429" s="8" t="n">
        <f aca="false">IFERROR(M429/L429,0)</f>
        <v>0.458181818181818</v>
      </c>
      <c r="R429" s="8" t="n">
        <f aca="false">IFERROR(N429/M429,0)</f>
        <v>0.992063492063492</v>
      </c>
      <c r="S429" s="8" t="n">
        <f aca="false">P429*Q429*R429</f>
        <v>0.454545454545455</v>
      </c>
    </row>
    <row r="430" customFormat="false" ht="15" hidden="false" customHeight="false" outlineLevel="0" collapsed="false">
      <c r="A430" s="4" t="n">
        <v>46192</v>
      </c>
      <c r="B430" s="5" t="n">
        <f aca="false">MONTH($A430)</f>
        <v>6</v>
      </c>
      <c r="C430" s="5" t="n">
        <v>2</v>
      </c>
      <c r="D430" s="6" t="str">
        <f aca="false">INDEX(Parametros!$B$16:$B$18,MATCH($C430,Parametros!$A$16:$A$18,0))</f>
        <v>E2 - Llenado y tapado</v>
      </c>
      <c r="E430" s="7" t="n">
        <f aca="false">IF(WEEKDAY($A430,2)&lt;6,Parametros!$B$21,Parametros!$B$22)</f>
        <v>6</v>
      </c>
      <c r="F430" s="7" t="n">
        <v>0.75</v>
      </c>
      <c r="G430" s="7" t="n">
        <f aca="false">E430-F430</f>
        <v>5.25</v>
      </c>
      <c r="H430" s="7" t="n">
        <v>0</v>
      </c>
      <c r="I430" s="7" t="n">
        <f aca="false">G430-H430</f>
        <v>5.25</v>
      </c>
      <c r="J430" s="6" t="s">
        <v>27</v>
      </c>
      <c r="K430" s="5" t="n">
        <f aca="false">INDEX(Parametros!$C$16:$C$18,MATCH($C430,Parametros!$A$16:$A$18,0))</f>
        <v>95</v>
      </c>
      <c r="L430" s="5" t="n">
        <f aca="false">I430*K430</f>
        <v>498.75</v>
      </c>
      <c r="M430" s="5" t="n">
        <v>250</v>
      </c>
      <c r="N430" s="5" t="n">
        <v>244</v>
      </c>
      <c r="O430" s="5" t="n">
        <f aca="false">M430-N430</f>
        <v>6</v>
      </c>
      <c r="P430" s="8" t="n">
        <f aca="false">IFERROR(I430/G430,0)</f>
        <v>1</v>
      </c>
      <c r="Q430" s="8" t="n">
        <f aca="false">IFERROR(M430/L430,0)</f>
        <v>0.50125313283208</v>
      </c>
      <c r="R430" s="8" t="n">
        <f aca="false">IFERROR(N430/M430,0)</f>
        <v>0.976</v>
      </c>
      <c r="S430" s="8" t="n">
        <f aca="false">P430*Q430*R430</f>
        <v>0.48922305764411</v>
      </c>
    </row>
    <row r="431" customFormat="false" ht="15" hidden="false" customHeight="false" outlineLevel="0" collapsed="false">
      <c r="A431" s="4" t="n">
        <v>46192</v>
      </c>
      <c r="B431" s="5" t="n">
        <f aca="false">MONTH($A431)</f>
        <v>6</v>
      </c>
      <c r="C431" s="5" t="n">
        <v>3</v>
      </c>
      <c r="D431" s="6" t="str">
        <f aca="false">INDEX(Parametros!$B$16:$B$18,MATCH($C431,Parametros!$A$16:$A$18,0))</f>
        <v>E3 - Sellado y etiquetado</v>
      </c>
      <c r="E431" s="7" t="n">
        <f aca="false">IF(WEEKDAY($A431,2)&lt;6,Parametros!$B$21,Parametros!$B$22)</f>
        <v>6</v>
      </c>
      <c r="F431" s="7" t="n">
        <v>0.5</v>
      </c>
      <c r="G431" s="7" t="n">
        <f aca="false">E431-F431</f>
        <v>5.5</v>
      </c>
      <c r="H431" s="7" t="n">
        <v>0.25</v>
      </c>
      <c r="I431" s="7" t="n">
        <f aca="false">G431-H431</f>
        <v>5.25</v>
      </c>
      <c r="J431" s="6" t="s">
        <v>23</v>
      </c>
      <c r="K431" s="5" t="n">
        <f aca="false">INDEX(Parametros!$C$16:$C$18,MATCH($C431,Parametros!$A$16:$A$18,0))</f>
        <v>95</v>
      </c>
      <c r="L431" s="5" t="n">
        <f aca="false">I431*K431</f>
        <v>498.75</v>
      </c>
      <c r="M431" s="5" t="n">
        <v>244</v>
      </c>
      <c r="N431" s="5" t="n">
        <v>241</v>
      </c>
      <c r="O431" s="5" t="n">
        <f aca="false">M431-N431</f>
        <v>3</v>
      </c>
      <c r="P431" s="8" t="n">
        <f aca="false">IFERROR(I431/G431,0)</f>
        <v>0.954545454545455</v>
      </c>
      <c r="Q431" s="8" t="n">
        <f aca="false">IFERROR(M431/L431,0)</f>
        <v>0.48922305764411</v>
      </c>
      <c r="R431" s="8" t="n">
        <f aca="false">IFERROR(N431/M431,0)</f>
        <v>0.987704918032787</v>
      </c>
      <c r="S431" s="8" t="n">
        <f aca="false">P431*Q431*R431</f>
        <v>0.461244019138756</v>
      </c>
    </row>
    <row r="432" customFormat="false" ht="15" hidden="false" customHeight="false" outlineLevel="0" collapsed="false">
      <c r="A432" s="4" t="n">
        <v>46193</v>
      </c>
      <c r="B432" s="5" t="n">
        <f aca="false">MONTH($A432)</f>
        <v>6</v>
      </c>
      <c r="C432" s="5" t="n">
        <v>1</v>
      </c>
      <c r="D432" s="6" t="str">
        <f aca="false">INDEX(Parametros!$B$16:$B$18,MATCH($C432,Parametros!$A$16:$A$18,0))</f>
        <v>E1 - Lavado y sanitizado de bidones</v>
      </c>
      <c r="E432" s="7" t="n">
        <f aca="false">IF(WEEKDAY($A432,2)&lt;6,Parametros!$B$21,Parametros!$B$22)</f>
        <v>4</v>
      </c>
      <c r="F432" s="7" t="n">
        <v>1</v>
      </c>
      <c r="G432" s="7" t="n">
        <f aca="false">E432-F432</f>
        <v>3</v>
      </c>
      <c r="H432" s="7" t="n">
        <v>0.5</v>
      </c>
      <c r="I432" s="7" t="n">
        <f aca="false">G432-H432</f>
        <v>2.5</v>
      </c>
      <c r="J432" s="6" t="s">
        <v>26</v>
      </c>
      <c r="K432" s="5" t="n">
        <f aca="false">INDEX(Parametros!$C$16:$C$18,MATCH($C432,Parametros!$A$16:$A$18,0))</f>
        <v>100</v>
      </c>
      <c r="L432" s="5" t="n">
        <f aca="false">I432*K432</f>
        <v>250</v>
      </c>
      <c r="M432" s="5" t="n">
        <v>160</v>
      </c>
      <c r="N432" s="5" t="n">
        <v>159</v>
      </c>
      <c r="O432" s="5" t="n">
        <f aca="false">M432-N432</f>
        <v>1</v>
      </c>
      <c r="P432" s="8" t="n">
        <f aca="false">IFERROR(I432/G432,0)</f>
        <v>0.833333333333333</v>
      </c>
      <c r="Q432" s="8" t="n">
        <f aca="false">IFERROR(M432/L432,0)</f>
        <v>0.64</v>
      </c>
      <c r="R432" s="8" t="n">
        <f aca="false">IFERROR(N432/M432,0)</f>
        <v>0.99375</v>
      </c>
      <c r="S432" s="8" t="n">
        <f aca="false">P432*Q432*R432</f>
        <v>0.53</v>
      </c>
    </row>
    <row r="433" customFormat="false" ht="15" hidden="false" customHeight="false" outlineLevel="0" collapsed="false">
      <c r="A433" s="4" t="n">
        <v>46193</v>
      </c>
      <c r="B433" s="5" t="n">
        <f aca="false">MONTH($A433)</f>
        <v>6</v>
      </c>
      <c r="C433" s="5" t="n">
        <v>2</v>
      </c>
      <c r="D433" s="6" t="str">
        <f aca="false">INDEX(Parametros!$B$16:$B$18,MATCH($C433,Parametros!$A$16:$A$18,0))</f>
        <v>E2 - Llenado y tapado</v>
      </c>
      <c r="E433" s="7" t="n">
        <f aca="false">IF(WEEKDAY($A433,2)&lt;6,Parametros!$B$21,Parametros!$B$22)</f>
        <v>4</v>
      </c>
      <c r="F433" s="7" t="n">
        <v>1</v>
      </c>
      <c r="G433" s="7" t="n">
        <f aca="false">E433-F433</f>
        <v>3</v>
      </c>
      <c r="H433" s="7" t="n">
        <v>1</v>
      </c>
      <c r="I433" s="7" t="n">
        <f aca="false">G433-H433</f>
        <v>2</v>
      </c>
      <c r="J433" s="6" t="s">
        <v>30</v>
      </c>
      <c r="K433" s="5" t="n">
        <f aca="false">INDEX(Parametros!$C$16:$C$18,MATCH($C433,Parametros!$A$16:$A$18,0))</f>
        <v>95</v>
      </c>
      <c r="L433" s="5" t="n">
        <f aca="false">I433*K433</f>
        <v>190</v>
      </c>
      <c r="M433" s="5" t="n">
        <v>159</v>
      </c>
      <c r="N433" s="5" t="n">
        <v>157</v>
      </c>
      <c r="O433" s="5" t="n">
        <f aca="false">M433-N433</f>
        <v>2</v>
      </c>
      <c r="P433" s="8" t="n">
        <f aca="false">IFERROR(I433/G433,0)</f>
        <v>0.666666666666667</v>
      </c>
      <c r="Q433" s="8" t="n">
        <f aca="false">IFERROR(M433/L433,0)</f>
        <v>0.836842105263158</v>
      </c>
      <c r="R433" s="8" t="n">
        <f aca="false">IFERROR(N433/M433,0)</f>
        <v>0.987421383647799</v>
      </c>
      <c r="S433" s="8" t="n">
        <f aca="false">P433*Q433*R433</f>
        <v>0.550877192982456</v>
      </c>
    </row>
    <row r="434" customFormat="false" ht="15" hidden="false" customHeight="false" outlineLevel="0" collapsed="false">
      <c r="A434" s="4" t="n">
        <v>46193</v>
      </c>
      <c r="B434" s="5" t="n">
        <f aca="false">MONTH($A434)</f>
        <v>6</v>
      </c>
      <c r="C434" s="5" t="n">
        <v>3</v>
      </c>
      <c r="D434" s="6" t="str">
        <f aca="false">INDEX(Parametros!$B$16:$B$18,MATCH($C434,Parametros!$A$16:$A$18,0))</f>
        <v>E3 - Sellado y etiquetado</v>
      </c>
      <c r="E434" s="7" t="n">
        <f aca="false">IF(WEEKDAY($A434,2)&lt;6,Parametros!$B$21,Parametros!$B$22)</f>
        <v>4</v>
      </c>
      <c r="F434" s="7" t="n">
        <v>0.5</v>
      </c>
      <c r="G434" s="7" t="n">
        <f aca="false">E434-F434</f>
        <v>3.5</v>
      </c>
      <c r="H434" s="7" t="n">
        <v>0.5</v>
      </c>
      <c r="I434" s="7" t="n">
        <f aca="false">G434-H434</f>
        <v>3</v>
      </c>
      <c r="J434" s="6" t="s">
        <v>23</v>
      </c>
      <c r="K434" s="5" t="n">
        <f aca="false">INDEX(Parametros!$C$16:$C$18,MATCH($C434,Parametros!$A$16:$A$18,0))</f>
        <v>95</v>
      </c>
      <c r="L434" s="5" t="n">
        <f aca="false">I434*K434</f>
        <v>285</v>
      </c>
      <c r="M434" s="5" t="n">
        <v>157</v>
      </c>
      <c r="N434" s="5" t="n">
        <v>155</v>
      </c>
      <c r="O434" s="5" t="n">
        <f aca="false">M434-N434</f>
        <v>2</v>
      </c>
      <c r="P434" s="8" t="n">
        <f aca="false">IFERROR(I434/G434,0)</f>
        <v>0.857142857142857</v>
      </c>
      <c r="Q434" s="8" t="n">
        <f aca="false">IFERROR(M434/L434,0)</f>
        <v>0.550877192982456</v>
      </c>
      <c r="R434" s="8" t="n">
        <f aca="false">IFERROR(N434/M434,0)</f>
        <v>0.987261146496815</v>
      </c>
      <c r="S434" s="8" t="n">
        <f aca="false">P434*Q434*R434</f>
        <v>0.466165413533835</v>
      </c>
    </row>
    <row r="435" customFormat="false" ht="15" hidden="false" customHeight="false" outlineLevel="0" collapsed="false">
      <c r="A435" s="4" t="n">
        <v>46195</v>
      </c>
      <c r="B435" s="5" t="n">
        <f aca="false">MONTH($A435)</f>
        <v>6</v>
      </c>
      <c r="C435" s="5" t="n">
        <v>1</v>
      </c>
      <c r="D435" s="6" t="str">
        <f aca="false">INDEX(Parametros!$B$16:$B$18,MATCH($C435,Parametros!$A$16:$A$18,0))</f>
        <v>E1 - Lavado y sanitizado de bidones</v>
      </c>
      <c r="E435" s="7" t="n">
        <f aca="false">IF(WEEKDAY($A435,2)&lt;6,Parametros!$B$21,Parametros!$B$22)</f>
        <v>6</v>
      </c>
      <c r="F435" s="7" t="n">
        <v>0.5</v>
      </c>
      <c r="G435" s="7" t="n">
        <f aca="false">E435-F435</f>
        <v>5.5</v>
      </c>
      <c r="H435" s="7" t="n">
        <v>0.75</v>
      </c>
      <c r="I435" s="7" t="n">
        <f aca="false">G435-H435</f>
        <v>4.75</v>
      </c>
      <c r="J435" s="6" t="s">
        <v>22</v>
      </c>
      <c r="K435" s="5" t="n">
        <f aca="false">INDEX(Parametros!$C$16:$C$18,MATCH($C435,Parametros!$A$16:$A$18,0))</f>
        <v>100</v>
      </c>
      <c r="L435" s="5" t="n">
        <f aca="false">I435*K435</f>
        <v>475</v>
      </c>
      <c r="M435" s="5" t="n">
        <v>266</v>
      </c>
      <c r="N435" s="5" t="n">
        <v>261</v>
      </c>
      <c r="O435" s="5" t="n">
        <f aca="false">M435-N435</f>
        <v>5</v>
      </c>
      <c r="P435" s="8" t="n">
        <f aca="false">IFERROR(I435/G435,0)</f>
        <v>0.863636363636364</v>
      </c>
      <c r="Q435" s="8" t="n">
        <f aca="false">IFERROR(M435/L435,0)</f>
        <v>0.56</v>
      </c>
      <c r="R435" s="8" t="n">
        <f aca="false">IFERROR(N435/M435,0)</f>
        <v>0.981203007518797</v>
      </c>
      <c r="S435" s="8" t="n">
        <f aca="false">P435*Q435*R435</f>
        <v>0.474545454545455</v>
      </c>
    </row>
    <row r="436" customFormat="false" ht="15" hidden="false" customHeight="false" outlineLevel="0" collapsed="false">
      <c r="A436" s="4" t="n">
        <v>46195</v>
      </c>
      <c r="B436" s="5" t="n">
        <f aca="false">MONTH($A436)</f>
        <v>6</v>
      </c>
      <c r="C436" s="5" t="n">
        <v>2</v>
      </c>
      <c r="D436" s="6" t="str">
        <f aca="false">INDEX(Parametros!$B$16:$B$18,MATCH($C436,Parametros!$A$16:$A$18,0))</f>
        <v>E2 - Llenado y tapado</v>
      </c>
      <c r="E436" s="7" t="n">
        <f aca="false">IF(WEEKDAY($A436,2)&lt;6,Parametros!$B$21,Parametros!$B$22)</f>
        <v>6</v>
      </c>
      <c r="F436" s="7" t="n">
        <v>0.75</v>
      </c>
      <c r="G436" s="7" t="n">
        <f aca="false">E436-F436</f>
        <v>5.25</v>
      </c>
      <c r="H436" s="7" t="n">
        <v>0.25</v>
      </c>
      <c r="I436" s="7" t="n">
        <f aca="false">G436-H436</f>
        <v>5</v>
      </c>
      <c r="J436" s="6" t="s">
        <v>23</v>
      </c>
      <c r="K436" s="5" t="n">
        <f aca="false">INDEX(Parametros!$C$16:$C$18,MATCH($C436,Parametros!$A$16:$A$18,0))</f>
        <v>95</v>
      </c>
      <c r="L436" s="5" t="n">
        <f aca="false">I436*K436</f>
        <v>475</v>
      </c>
      <c r="M436" s="5" t="n">
        <v>261</v>
      </c>
      <c r="N436" s="5" t="n">
        <v>257</v>
      </c>
      <c r="O436" s="5" t="n">
        <f aca="false">M436-N436</f>
        <v>4</v>
      </c>
      <c r="P436" s="8" t="n">
        <f aca="false">IFERROR(I436/G436,0)</f>
        <v>0.952380952380952</v>
      </c>
      <c r="Q436" s="8" t="n">
        <f aca="false">IFERROR(M436/L436,0)</f>
        <v>0.549473684210526</v>
      </c>
      <c r="R436" s="8" t="n">
        <f aca="false">IFERROR(N436/M436,0)</f>
        <v>0.984674329501916</v>
      </c>
      <c r="S436" s="8" t="n">
        <f aca="false">P436*Q436*R436</f>
        <v>0.515288220551379</v>
      </c>
    </row>
    <row r="437" customFormat="false" ht="15" hidden="false" customHeight="false" outlineLevel="0" collapsed="false">
      <c r="A437" s="4" t="n">
        <v>46195</v>
      </c>
      <c r="B437" s="5" t="n">
        <f aca="false">MONTH($A437)</f>
        <v>6</v>
      </c>
      <c r="C437" s="5" t="n">
        <v>3</v>
      </c>
      <c r="D437" s="6" t="str">
        <f aca="false">INDEX(Parametros!$B$16:$B$18,MATCH($C437,Parametros!$A$16:$A$18,0))</f>
        <v>E3 - Sellado y etiquetado</v>
      </c>
      <c r="E437" s="7" t="n">
        <f aca="false">IF(WEEKDAY($A437,2)&lt;6,Parametros!$B$21,Parametros!$B$22)</f>
        <v>6</v>
      </c>
      <c r="F437" s="7" t="n">
        <v>0.5</v>
      </c>
      <c r="G437" s="7" t="n">
        <f aca="false">E437-F437</f>
        <v>5.5</v>
      </c>
      <c r="H437" s="7" t="n">
        <v>0</v>
      </c>
      <c r="I437" s="7" t="n">
        <f aca="false">G437-H437</f>
        <v>5.5</v>
      </c>
      <c r="J437" s="6" t="s">
        <v>27</v>
      </c>
      <c r="K437" s="5" t="n">
        <f aca="false">INDEX(Parametros!$C$16:$C$18,MATCH($C437,Parametros!$A$16:$A$18,0))</f>
        <v>95</v>
      </c>
      <c r="L437" s="5" t="n">
        <f aca="false">I437*K437</f>
        <v>522.5</v>
      </c>
      <c r="M437" s="5" t="n">
        <v>257</v>
      </c>
      <c r="N437" s="5" t="n">
        <v>253</v>
      </c>
      <c r="O437" s="5" t="n">
        <f aca="false">M437-N437</f>
        <v>4</v>
      </c>
      <c r="P437" s="8" t="n">
        <f aca="false">IFERROR(I437/G437,0)</f>
        <v>1</v>
      </c>
      <c r="Q437" s="8" t="n">
        <f aca="false">IFERROR(M437/L437,0)</f>
        <v>0.491866028708134</v>
      </c>
      <c r="R437" s="8" t="n">
        <f aca="false">IFERROR(N437/M437,0)</f>
        <v>0.98443579766537</v>
      </c>
      <c r="S437" s="8" t="n">
        <f aca="false">P437*Q437*R437</f>
        <v>0.48421052631579</v>
      </c>
    </row>
    <row r="438" customFormat="false" ht="15" hidden="false" customHeight="false" outlineLevel="0" collapsed="false">
      <c r="A438" s="4" t="n">
        <v>46196</v>
      </c>
      <c r="B438" s="5" t="n">
        <f aca="false">MONTH($A438)</f>
        <v>6</v>
      </c>
      <c r="C438" s="5" t="n">
        <v>1</v>
      </c>
      <c r="D438" s="6" t="str">
        <f aca="false">INDEX(Parametros!$B$16:$B$18,MATCH($C438,Parametros!$A$16:$A$18,0))</f>
        <v>E1 - Lavado y sanitizado de bidones</v>
      </c>
      <c r="E438" s="7" t="n">
        <f aca="false">IF(WEEKDAY($A438,2)&lt;6,Parametros!$B$21,Parametros!$B$22)</f>
        <v>6</v>
      </c>
      <c r="F438" s="7" t="n">
        <v>0.75</v>
      </c>
      <c r="G438" s="7" t="n">
        <f aca="false">E438-F438</f>
        <v>5.25</v>
      </c>
      <c r="H438" s="7" t="n">
        <v>0</v>
      </c>
      <c r="I438" s="7" t="n">
        <f aca="false">G438-H438</f>
        <v>5.25</v>
      </c>
      <c r="J438" s="6" t="s">
        <v>27</v>
      </c>
      <c r="K438" s="5" t="n">
        <f aca="false">INDEX(Parametros!$C$16:$C$18,MATCH($C438,Parametros!$A$16:$A$18,0))</f>
        <v>100</v>
      </c>
      <c r="L438" s="5" t="n">
        <f aca="false">I438*K438</f>
        <v>525</v>
      </c>
      <c r="M438" s="5" t="n">
        <v>303</v>
      </c>
      <c r="N438" s="5" t="n">
        <v>300</v>
      </c>
      <c r="O438" s="5" t="n">
        <f aca="false">M438-N438</f>
        <v>3</v>
      </c>
      <c r="P438" s="8" t="n">
        <f aca="false">IFERROR(I438/G438,0)</f>
        <v>1</v>
      </c>
      <c r="Q438" s="8" t="n">
        <f aca="false">IFERROR(M438/L438,0)</f>
        <v>0.577142857142857</v>
      </c>
      <c r="R438" s="8" t="n">
        <f aca="false">IFERROR(N438/M438,0)</f>
        <v>0.99009900990099</v>
      </c>
      <c r="S438" s="8" t="n">
        <f aca="false">P438*Q438*R438</f>
        <v>0.571428571428572</v>
      </c>
    </row>
    <row r="439" customFormat="false" ht="15" hidden="false" customHeight="false" outlineLevel="0" collapsed="false">
      <c r="A439" s="4" t="n">
        <v>46196</v>
      </c>
      <c r="B439" s="5" t="n">
        <f aca="false">MONTH($A439)</f>
        <v>6</v>
      </c>
      <c r="C439" s="5" t="n">
        <v>2</v>
      </c>
      <c r="D439" s="6" t="str">
        <f aca="false">INDEX(Parametros!$B$16:$B$18,MATCH($C439,Parametros!$A$16:$A$18,0))</f>
        <v>E2 - Llenado y tapado</v>
      </c>
      <c r="E439" s="7" t="n">
        <f aca="false">IF(WEEKDAY($A439,2)&lt;6,Parametros!$B$21,Parametros!$B$22)</f>
        <v>6</v>
      </c>
      <c r="F439" s="7" t="n">
        <v>0.75</v>
      </c>
      <c r="G439" s="7" t="n">
        <f aca="false">E439-F439</f>
        <v>5.25</v>
      </c>
      <c r="H439" s="7" t="n">
        <v>0.75</v>
      </c>
      <c r="I439" s="7" t="n">
        <f aca="false">G439-H439</f>
        <v>4.5</v>
      </c>
      <c r="J439" s="6" t="s">
        <v>28</v>
      </c>
      <c r="K439" s="5" t="n">
        <f aca="false">INDEX(Parametros!$C$16:$C$18,MATCH($C439,Parametros!$A$16:$A$18,0))</f>
        <v>95</v>
      </c>
      <c r="L439" s="5" t="n">
        <f aca="false">I439*K439</f>
        <v>427.5</v>
      </c>
      <c r="M439" s="5" t="n">
        <v>300</v>
      </c>
      <c r="N439" s="5" t="n">
        <v>294</v>
      </c>
      <c r="O439" s="5" t="n">
        <f aca="false">M439-N439</f>
        <v>6</v>
      </c>
      <c r="P439" s="8" t="n">
        <f aca="false">IFERROR(I439/G439,0)</f>
        <v>0.857142857142857</v>
      </c>
      <c r="Q439" s="8" t="n">
        <f aca="false">IFERROR(M439/L439,0)</f>
        <v>0.701754385964912</v>
      </c>
      <c r="R439" s="8" t="n">
        <f aca="false">IFERROR(N439/M439,0)</f>
        <v>0.98</v>
      </c>
      <c r="S439" s="8" t="n">
        <f aca="false">P439*Q439*R439</f>
        <v>0.589473684210526</v>
      </c>
    </row>
    <row r="440" customFormat="false" ht="15" hidden="false" customHeight="false" outlineLevel="0" collapsed="false">
      <c r="A440" s="4" t="n">
        <v>46196</v>
      </c>
      <c r="B440" s="5" t="n">
        <f aca="false">MONTH($A440)</f>
        <v>6</v>
      </c>
      <c r="C440" s="5" t="n">
        <v>3</v>
      </c>
      <c r="D440" s="6" t="str">
        <f aca="false">INDEX(Parametros!$B$16:$B$18,MATCH($C440,Parametros!$A$16:$A$18,0))</f>
        <v>E3 - Sellado y etiquetado</v>
      </c>
      <c r="E440" s="7" t="n">
        <f aca="false">IF(WEEKDAY($A440,2)&lt;6,Parametros!$B$21,Parametros!$B$22)</f>
        <v>6</v>
      </c>
      <c r="F440" s="7" t="n">
        <v>0.25</v>
      </c>
      <c r="G440" s="7" t="n">
        <f aca="false">E440-F440</f>
        <v>5.75</v>
      </c>
      <c r="H440" s="7" t="n">
        <v>0.5</v>
      </c>
      <c r="I440" s="7" t="n">
        <f aca="false">G440-H440</f>
        <v>5.25</v>
      </c>
      <c r="J440" s="6" t="s">
        <v>23</v>
      </c>
      <c r="K440" s="5" t="n">
        <f aca="false">INDEX(Parametros!$C$16:$C$18,MATCH($C440,Parametros!$A$16:$A$18,0))</f>
        <v>95</v>
      </c>
      <c r="L440" s="5" t="n">
        <f aca="false">I440*K440</f>
        <v>498.75</v>
      </c>
      <c r="M440" s="5" t="n">
        <v>294</v>
      </c>
      <c r="N440" s="5" t="n">
        <v>291</v>
      </c>
      <c r="O440" s="5" t="n">
        <f aca="false">M440-N440</f>
        <v>3</v>
      </c>
      <c r="P440" s="8" t="n">
        <f aca="false">IFERROR(I440/G440,0)</f>
        <v>0.91304347826087</v>
      </c>
      <c r="Q440" s="8" t="n">
        <f aca="false">IFERROR(M440/L440,0)</f>
        <v>0.589473684210526</v>
      </c>
      <c r="R440" s="8" t="n">
        <f aca="false">IFERROR(N440/M440,0)</f>
        <v>0.989795918367347</v>
      </c>
      <c r="S440" s="8" t="n">
        <f aca="false">P440*Q440*R440</f>
        <v>0.532723112128146</v>
      </c>
    </row>
    <row r="441" customFormat="false" ht="15" hidden="false" customHeight="false" outlineLevel="0" collapsed="false">
      <c r="A441" s="4" t="n">
        <v>46197</v>
      </c>
      <c r="B441" s="5" t="n">
        <f aca="false">MONTH($A441)</f>
        <v>6</v>
      </c>
      <c r="C441" s="5" t="n">
        <v>1</v>
      </c>
      <c r="D441" s="6" t="str">
        <f aca="false">INDEX(Parametros!$B$16:$B$18,MATCH($C441,Parametros!$A$16:$A$18,0))</f>
        <v>E1 - Lavado y sanitizado de bidones</v>
      </c>
      <c r="E441" s="7" t="n">
        <f aca="false">IF(WEEKDAY($A441,2)&lt;6,Parametros!$B$21,Parametros!$B$22)</f>
        <v>6</v>
      </c>
      <c r="F441" s="7" t="n">
        <v>0.5</v>
      </c>
      <c r="G441" s="7" t="n">
        <f aca="false">E441-F441</f>
        <v>5.5</v>
      </c>
      <c r="H441" s="7" t="n">
        <v>0.75</v>
      </c>
      <c r="I441" s="7" t="n">
        <f aca="false">G441-H441</f>
        <v>4.75</v>
      </c>
      <c r="J441" s="6" t="s">
        <v>26</v>
      </c>
      <c r="K441" s="5" t="n">
        <f aca="false">INDEX(Parametros!$C$16:$C$18,MATCH($C441,Parametros!$A$16:$A$18,0))</f>
        <v>100</v>
      </c>
      <c r="L441" s="5" t="n">
        <f aca="false">I441*K441</f>
        <v>475</v>
      </c>
      <c r="M441" s="5" t="n">
        <v>243</v>
      </c>
      <c r="N441" s="5" t="n">
        <v>239</v>
      </c>
      <c r="O441" s="5" t="n">
        <f aca="false">M441-N441</f>
        <v>4</v>
      </c>
      <c r="P441" s="8" t="n">
        <f aca="false">IFERROR(I441/G441,0)</f>
        <v>0.863636363636364</v>
      </c>
      <c r="Q441" s="8" t="n">
        <f aca="false">IFERROR(M441/L441,0)</f>
        <v>0.511578947368421</v>
      </c>
      <c r="R441" s="8" t="n">
        <f aca="false">IFERROR(N441/M441,0)</f>
        <v>0.983539094650206</v>
      </c>
      <c r="S441" s="8" t="n">
        <f aca="false">P441*Q441*R441</f>
        <v>0.434545454545455</v>
      </c>
    </row>
    <row r="442" customFormat="false" ht="15" hidden="false" customHeight="false" outlineLevel="0" collapsed="false">
      <c r="A442" s="4" t="n">
        <v>46197</v>
      </c>
      <c r="B442" s="5" t="n">
        <f aca="false">MONTH($A442)</f>
        <v>6</v>
      </c>
      <c r="C442" s="5" t="n">
        <v>2</v>
      </c>
      <c r="D442" s="6" t="str">
        <f aca="false">INDEX(Parametros!$B$16:$B$18,MATCH($C442,Parametros!$A$16:$A$18,0))</f>
        <v>E2 - Llenado y tapado</v>
      </c>
      <c r="E442" s="7" t="n">
        <f aca="false">IF(WEEKDAY($A442,2)&lt;6,Parametros!$B$21,Parametros!$B$22)</f>
        <v>6</v>
      </c>
      <c r="F442" s="7" t="n">
        <v>0.75</v>
      </c>
      <c r="G442" s="7" t="n">
        <f aca="false">E442-F442</f>
        <v>5.25</v>
      </c>
      <c r="H442" s="7" t="n">
        <v>0</v>
      </c>
      <c r="I442" s="7" t="n">
        <f aca="false">G442-H442</f>
        <v>5.25</v>
      </c>
      <c r="J442" s="6" t="s">
        <v>27</v>
      </c>
      <c r="K442" s="5" t="n">
        <f aca="false">INDEX(Parametros!$C$16:$C$18,MATCH($C442,Parametros!$A$16:$A$18,0))</f>
        <v>95</v>
      </c>
      <c r="L442" s="5" t="n">
        <f aca="false">I442*K442</f>
        <v>498.75</v>
      </c>
      <c r="M442" s="5" t="n">
        <v>239</v>
      </c>
      <c r="N442" s="5" t="n">
        <v>235</v>
      </c>
      <c r="O442" s="5" t="n">
        <f aca="false">M442-N442</f>
        <v>4</v>
      </c>
      <c r="P442" s="8" t="n">
        <f aca="false">IFERROR(I442/G442,0)</f>
        <v>1</v>
      </c>
      <c r="Q442" s="8" t="n">
        <f aca="false">IFERROR(M442/L442,0)</f>
        <v>0.479197994987469</v>
      </c>
      <c r="R442" s="8" t="n">
        <f aca="false">IFERROR(N442/M442,0)</f>
        <v>0.98326359832636</v>
      </c>
      <c r="S442" s="8" t="n">
        <f aca="false">P442*Q442*R442</f>
        <v>0.471177944862155</v>
      </c>
    </row>
    <row r="443" customFormat="false" ht="15" hidden="false" customHeight="false" outlineLevel="0" collapsed="false">
      <c r="A443" s="4" t="n">
        <v>46197</v>
      </c>
      <c r="B443" s="5" t="n">
        <f aca="false">MONTH($A443)</f>
        <v>6</v>
      </c>
      <c r="C443" s="5" t="n">
        <v>3</v>
      </c>
      <c r="D443" s="6" t="str">
        <f aca="false">INDEX(Parametros!$B$16:$B$18,MATCH($C443,Parametros!$A$16:$A$18,0))</f>
        <v>E3 - Sellado y etiquetado</v>
      </c>
      <c r="E443" s="7" t="n">
        <f aca="false">IF(WEEKDAY($A443,2)&lt;6,Parametros!$B$21,Parametros!$B$22)</f>
        <v>6</v>
      </c>
      <c r="F443" s="7" t="n">
        <v>0.25</v>
      </c>
      <c r="G443" s="7" t="n">
        <f aca="false">E443-F443</f>
        <v>5.75</v>
      </c>
      <c r="H443" s="7" t="n">
        <v>0.5</v>
      </c>
      <c r="I443" s="7" t="n">
        <f aca="false">G443-H443</f>
        <v>5.25</v>
      </c>
      <c r="J443" s="6" t="s">
        <v>26</v>
      </c>
      <c r="K443" s="5" t="n">
        <f aca="false">INDEX(Parametros!$C$16:$C$18,MATCH($C443,Parametros!$A$16:$A$18,0))</f>
        <v>95</v>
      </c>
      <c r="L443" s="5" t="n">
        <f aca="false">I443*K443</f>
        <v>498.75</v>
      </c>
      <c r="M443" s="5" t="n">
        <v>235</v>
      </c>
      <c r="N443" s="5" t="n">
        <v>233</v>
      </c>
      <c r="O443" s="5" t="n">
        <f aca="false">M443-N443</f>
        <v>2</v>
      </c>
      <c r="P443" s="8" t="n">
        <f aca="false">IFERROR(I443/G443,0)</f>
        <v>0.91304347826087</v>
      </c>
      <c r="Q443" s="8" t="n">
        <f aca="false">IFERROR(M443/L443,0)</f>
        <v>0.471177944862155</v>
      </c>
      <c r="R443" s="8" t="n">
        <f aca="false">IFERROR(N443/M443,0)</f>
        <v>0.991489361702128</v>
      </c>
      <c r="S443" s="8" t="n">
        <f aca="false">P443*Q443*R443</f>
        <v>0.426544622425629</v>
      </c>
    </row>
    <row r="444" customFormat="false" ht="15" hidden="false" customHeight="false" outlineLevel="0" collapsed="false">
      <c r="A444" s="4" t="n">
        <v>46198</v>
      </c>
      <c r="B444" s="5" t="n">
        <f aca="false">MONTH($A444)</f>
        <v>6</v>
      </c>
      <c r="C444" s="5" t="n">
        <v>1</v>
      </c>
      <c r="D444" s="6" t="str">
        <f aca="false">INDEX(Parametros!$B$16:$B$18,MATCH($C444,Parametros!$A$16:$A$18,0))</f>
        <v>E1 - Lavado y sanitizado de bidones</v>
      </c>
      <c r="E444" s="7" t="n">
        <f aca="false">IF(WEEKDAY($A444,2)&lt;6,Parametros!$B$21,Parametros!$B$22)</f>
        <v>6</v>
      </c>
      <c r="F444" s="7" t="n">
        <v>0.5</v>
      </c>
      <c r="G444" s="7" t="n">
        <f aca="false">E444-F444</f>
        <v>5.5</v>
      </c>
      <c r="H444" s="7" t="n">
        <v>0.5</v>
      </c>
      <c r="I444" s="7" t="n">
        <f aca="false">G444-H444</f>
        <v>5</v>
      </c>
      <c r="J444" s="6" t="s">
        <v>22</v>
      </c>
      <c r="K444" s="5" t="n">
        <f aca="false">INDEX(Parametros!$C$16:$C$18,MATCH($C444,Parametros!$A$16:$A$18,0))</f>
        <v>100</v>
      </c>
      <c r="L444" s="5" t="n">
        <f aca="false">I444*K444</f>
        <v>500</v>
      </c>
      <c r="M444" s="5" t="n">
        <v>304</v>
      </c>
      <c r="N444" s="5" t="n">
        <v>301</v>
      </c>
      <c r="O444" s="5" t="n">
        <f aca="false">M444-N444</f>
        <v>3</v>
      </c>
      <c r="P444" s="8" t="n">
        <f aca="false">IFERROR(I444/G444,0)</f>
        <v>0.909090909090909</v>
      </c>
      <c r="Q444" s="8" t="n">
        <f aca="false">IFERROR(M444/L444,0)</f>
        <v>0.608</v>
      </c>
      <c r="R444" s="8" t="n">
        <f aca="false">IFERROR(N444/M444,0)</f>
        <v>0.990131578947369</v>
      </c>
      <c r="S444" s="8" t="n">
        <f aca="false">P444*Q444*R444</f>
        <v>0.547272727272727</v>
      </c>
    </row>
    <row r="445" customFormat="false" ht="15" hidden="false" customHeight="false" outlineLevel="0" collapsed="false">
      <c r="A445" s="4" t="n">
        <v>46198</v>
      </c>
      <c r="B445" s="5" t="n">
        <f aca="false">MONTH($A445)</f>
        <v>6</v>
      </c>
      <c r="C445" s="5" t="n">
        <v>2</v>
      </c>
      <c r="D445" s="6" t="str">
        <f aca="false">INDEX(Parametros!$B$16:$B$18,MATCH($C445,Parametros!$A$16:$A$18,0))</f>
        <v>E2 - Llenado y tapado</v>
      </c>
      <c r="E445" s="7" t="n">
        <f aca="false">IF(WEEKDAY($A445,2)&lt;6,Parametros!$B$21,Parametros!$B$22)</f>
        <v>6</v>
      </c>
      <c r="F445" s="7" t="n">
        <v>0.75</v>
      </c>
      <c r="G445" s="7" t="n">
        <f aca="false">E445-F445</f>
        <v>5.25</v>
      </c>
      <c r="H445" s="7" t="n">
        <v>0.5</v>
      </c>
      <c r="I445" s="7" t="n">
        <f aca="false">G445-H445</f>
        <v>4.75</v>
      </c>
      <c r="J445" s="6" t="s">
        <v>28</v>
      </c>
      <c r="K445" s="5" t="n">
        <f aca="false">INDEX(Parametros!$C$16:$C$18,MATCH($C445,Parametros!$A$16:$A$18,0))</f>
        <v>95</v>
      </c>
      <c r="L445" s="5" t="n">
        <f aca="false">I445*K445</f>
        <v>451.25</v>
      </c>
      <c r="M445" s="5" t="n">
        <v>301</v>
      </c>
      <c r="N445" s="5" t="n">
        <v>298</v>
      </c>
      <c r="O445" s="5" t="n">
        <f aca="false">M445-N445</f>
        <v>3</v>
      </c>
      <c r="P445" s="8" t="n">
        <f aca="false">IFERROR(I445/G445,0)</f>
        <v>0.904761904761905</v>
      </c>
      <c r="Q445" s="8" t="n">
        <f aca="false">IFERROR(M445/L445,0)</f>
        <v>0.667036011080332</v>
      </c>
      <c r="R445" s="8" t="n">
        <f aca="false">IFERROR(N445/M445,0)</f>
        <v>0.990033222591362</v>
      </c>
      <c r="S445" s="8" t="n">
        <f aca="false">P445*Q445*R445</f>
        <v>0.59749373433584</v>
      </c>
    </row>
    <row r="446" customFormat="false" ht="15" hidden="false" customHeight="false" outlineLevel="0" collapsed="false">
      <c r="A446" s="4" t="n">
        <v>46198</v>
      </c>
      <c r="B446" s="5" t="n">
        <f aca="false">MONTH($A446)</f>
        <v>6</v>
      </c>
      <c r="C446" s="5" t="n">
        <v>3</v>
      </c>
      <c r="D446" s="6" t="str">
        <f aca="false">INDEX(Parametros!$B$16:$B$18,MATCH($C446,Parametros!$A$16:$A$18,0))</f>
        <v>E3 - Sellado y etiquetado</v>
      </c>
      <c r="E446" s="7" t="n">
        <f aca="false">IF(WEEKDAY($A446,2)&lt;6,Parametros!$B$21,Parametros!$B$22)</f>
        <v>6</v>
      </c>
      <c r="F446" s="7" t="n">
        <v>0.25</v>
      </c>
      <c r="G446" s="7" t="n">
        <f aca="false">E446-F446</f>
        <v>5.75</v>
      </c>
      <c r="H446" s="7" t="n">
        <v>0</v>
      </c>
      <c r="I446" s="7" t="n">
        <f aca="false">G446-H446</f>
        <v>5.75</v>
      </c>
      <c r="J446" s="6" t="s">
        <v>27</v>
      </c>
      <c r="K446" s="5" t="n">
        <f aca="false">INDEX(Parametros!$C$16:$C$18,MATCH($C446,Parametros!$A$16:$A$18,0))</f>
        <v>95</v>
      </c>
      <c r="L446" s="5" t="n">
        <f aca="false">I446*K446</f>
        <v>546.25</v>
      </c>
      <c r="M446" s="5" t="n">
        <v>298</v>
      </c>
      <c r="N446" s="5" t="n">
        <v>294</v>
      </c>
      <c r="O446" s="5" t="n">
        <f aca="false">M446-N446</f>
        <v>4</v>
      </c>
      <c r="P446" s="8" t="n">
        <f aca="false">IFERROR(I446/G446,0)</f>
        <v>1</v>
      </c>
      <c r="Q446" s="8" t="n">
        <f aca="false">IFERROR(M446/L446,0)</f>
        <v>0.545537757437071</v>
      </c>
      <c r="R446" s="8" t="n">
        <f aca="false">IFERROR(N446/M446,0)</f>
        <v>0.986577181208054</v>
      </c>
      <c r="S446" s="8" t="n">
        <f aca="false">P446*Q446*R446</f>
        <v>0.538215102974828</v>
      </c>
    </row>
    <row r="447" customFormat="false" ht="15" hidden="false" customHeight="false" outlineLevel="0" collapsed="false">
      <c r="A447" s="4" t="n">
        <v>46199</v>
      </c>
      <c r="B447" s="5" t="n">
        <f aca="false">MONTH($A447)</f>
        <v>6</v>
      </c>
      <c r="C447" s="5" t="n">
        <v>1</v>
      </c>
      <c r="D447" s="6" t="str">
        <f aca="false">INDEX(Parametros!$B$16:$B$18,MATCH($C447,Parametros!$A$16:$A$18,0))</f>
        <v>E1 - Lavado y sanitizado de bidones</v>
      </c>
      <c r="E447" s="7" t="n">
        <f aca="false">IF(WEEKDAY($A447,2)&lt;6,Parametros!$B$21,Parametros!$B$22)</f>
        <v>6</v>
      </c>
      <c r="F447" s="7" t="n">
        <v>0.5</v>
      </c>
      <c r="G447" s="7" t="n">
        <f aca="false">E447-F447</f>
        <v>5.5</v>
      </c>
      <c r="H447" s="7" t="n">
        <v>0</v>
      </c>
      <c r="I447" s="7" t="n">
        <f aca="false">G447-H447</f>
        <v>5.5</v>
      </c>
      <c r="J447" s="6" t="s">
        <v>27</v>
      </c>
      <c r="K447" s="5" t="n">
        <f aca="false">INDEX(Parametros!$C$16:$C$18,MATCH($C447,Parametros!$A$16:$A$18,0))</f>
        <v>100</v>
      </c>
      <c r="L447" s="5" t="n">
        <f aca="false">I447*K447</f>
        <v>550</v>
      </c>
      <c r="M447" s="5" t="n">
        <v>319</v>
      </c>
      <c r="N447" s="5" t="n">
        <v>314</v>
      </c>
      <c r="O447" s="5" t="n">
        <f aca="false">M447-N447</f>
        <v>5</v>
      </c>
      <c r="P447" s="8" t="n">
        <f aca="false">IFERROR(I447/G447,0)</f>
        <v>1</v>
      </c>
      <c r="Q447" s="8" t="n">
        <f aca="false">IFERROR(M447/L447,0)</f>
        <v>0.58</v>
      </c>
      <c r="R447" s="8" t="n">
        <f aca="false">IFERROR(N447/M447,0)</f>
        <v>0.984326018808778</v>
      </c>
      <c r="S447" s="8" t="n">
        <f aca="false">P447*Q447*R447</f>
        <v>0.570909090909091</v>
      </c>
    </row>
    <row r="448" customFormat="false" ht="15" hidden="false" customHeight="false" outlineLevel="0" collapsed="false">
      <c r="A448" s="4" t="n">
        <v>46199</v>
      </c>
      <c r="B448" s="5" t="n">
        <f aca="false">MONTH($A448)</f>
        <v>6</v>
      </c>
      <c r="C448" s="5" t="n">
        <v>2</v>
      </c>
      <c r="D448" s="6" t="str">
        <f aca="false">INDEX(Parametros!$B$16:$B$18,MATCH($C448,Parametros!$A$16:$A$18,0))</f>
        <v>E2 - Llenado y tapado</v>
      </c>
      <c r="E448" s="7" t="n">
        <f aca="false">IF(WEEKDAY($A448,2)&lt;6,Parametros!$B$21,Parametros!$B$22)</f>
        <v>6</v>
      </c>
      <c r="F448" s="7" t="n">
        <v>0.75</v>
      </c>
      <c r="G448" s="7" t="n">
        <f aca="false">E448-F448</f>
        <v>5.25</v>
      </c>
      <c r="H448" s="7" t="n">
        <v>0</v>
      </c>
      <c r="I448" s="7" t="n">
        <f aca="false">G448-H448</f>
        <v>5.25</v>
      </c>
      <c r="J448" s="6" t="s">
        <v>27</v>
      </c>
      <c r="K448" s="5" t="n">
        <f aca="false">INDEX(Parametros!$C$16:$C$18,MATCH($C448,Parametros!$A$16:$A$18,0))</f>
        <v>95</v>
      </c>
      <c r="L448" s="5" t="n">
        <f aca="false">I448*K448</f>
        <v>498.75</v>
      </c>
      <c r="M448" s="5" t="n">
        <v>314</v>
      </c>
      <c r="N448" s="5" t="n">
        <v>308</v>
      </c>
      <c r="O448" s="5" t="n">
        <f aca="false">M448-N448</f>
        <v>6</v>
      </c>
      <c r="P448" s="8" t="n">
        <f aca="false">IFERROR(I448/G448,0)</f>
        <v>1</v>
      </c>
      <c r="Q448" s="8" t="n">
        <f aca="false">IFERROR(M448/L448,0)</f>
        <v>0.629573934837093</v>
      </c>
      <c r="R448" s="8" t="n">
        <f aca="false">IFERROR(N448/M448,0)</f>
        <v>0.980891719745223</v>
      </c>
      <c r="S448" s="8" t="n">
        <f aca="false">P448*Q448*R448</f>
        <v>0.617543859649123</v>
      </c>
    </row>
    <row r="449" customFormat="false" ht="15" hidden="false" customHeight="false" outlineLevel="0" collapsed="false">
      <c r="A449" s="4" t="n">
        <v>46199</v>
      </c>
      <c r="B449" s="5" t="n">
        <f aca="false">MONTH($A449)</f>
        <v>6</v>
      </c>
      <c r="C449" s="5" t="n">
        <v>3</v>
      </c>
      <c r="D449" s="6" t="str">
        <f aca="false">INDEX(Parametros!$B$16:$B$18,MATCH($C449,Parametros!$A$16:$A$18,0))</f>
        <v>E3 - Sellado y etiquetado</v>
      </c>
      <c r="E449" s="7" t="n">
        <f aca="false">IF(WEEKDAY($A449,2)&lt;6,Parametros!$B$21,Parametros!$B$22)</f>
        <v>6</v>
      </c>
      <c r="F449" s="7" t="n">
        <v>0.25</v>
      </c>
      <c r="G449" s="7" t="n">
        <f aca="false">E449-F449</f>
        <v>5.75</v>
      </c>
      <c r="H449" s="7" t="n">
        <v>0</v>
      </c>
      <c r="I449" s="7" t="n">
        <f aca="false">G449-H449</f>
        <v>5.75</v>
      </c>
      <c r="J449" s="6" t="s">
        <v>27</v>
      </c>
      <c r="K449" s="5" t="n">
        <f aca="false">INDEX(Parametros!$C$16:$C$18,MATCH($C449,Parametros!$A$16:$A$18,0))</f>
        <v>95</v>
      </c>
      <c r="L449" s="5" t="n">
        <f aca="false">I449*K449</f>
        <v>546.25</v>
      </c>
      <c r="M449" s="5" t="n">
        <v>308</v>
      </c>
      <c r="N449" s="5" t="n">
        <v>305</v>
      </c>
      <c r="O449" s="5" t="n">
        <f aca="false">M449-N449</f>
        <v>3</v>
      </c>
      <c r="P449" s="8" t="n">
        <f aca="false">IFERROR(I449/G449,0)</f>
        <v>1</v>
      </c>
      <c r="Q449" s="8" t="n">
        <f aca="false">IFERROR(M449/L449,0)</f>
        <v>0.563844393592677</v>
      </c>
      <c r="R449" s="8" t="n">
        <f aca="false">IFERROR(N449/M449,0)</f>
        <v>0.99025974025974</v>
      </c>
      <c r="S449" s="8" t="n">
        <f aca="false">P449*Q449*R449</f>
        <v>0.558352402745995</v>
      </c>
    </row>
    <row r="450" customFormat="false" ht="15" hidden="false" customHeight="false" outlineLevel="0" collapsed="false">
      <c r="A450" s="4" t="n">
        <v>46200</v>
      </c>
      <c r="B450" s="5" t="n">
        <f aca="false">MONTH($A450)</f>
        <v>6</v>
      </c>
      <c r="C450" s="5" t="n">
        <v>1</v>
      </c>
      <c r="D450" s="6" t="str">
        <f aca="false">INDEX(Parametros!$B$16:$B$18,MATCH($C450,Parametros!$A$16:$A$18,0))</f>
        <v>E1 - Lavado y sanitizado de bidones</v>
      </c>
      <c r="E450" s="7" t="n">
        <f aca="false">IF(WEEKDAY($A450,2)&lt;6,Parametros!$B$21,Parametros!$B$22)</f>
        <v>4</v>
      </c>
      <c r="F450" s="7" t="n">
        <v>0.75</v>
      </c>
      <c r="G450" s="7" t="n">
        <f aca="false">E450-F450</f>
        <v>3.25</v>
      </c>
      <c r="H450" s="7" t="n">
        <v>1.5</v>
      </c>
      <c r="I450" s="7" t="n">
        <f aca="false">G450-H450</f>
        <v>1.75</v>
      </c>
      <c r="J450" s="6" t="s">
        <v>29</v>
      </c>
      <c r="K450" s="5" t="n">
        <f aca="false">INDEX(Parametros!$C$16:$C$18,MATCH($C450,Parametros!$A$16:$A$18,0))</f>
        <v>100</v>
      </c>
      <c r="L450" s="5" t="n">
        <f aca="false">I450*K450</f>
        <v>175</v>
      </c>
      <c r="M450" s="5" t="n">
        <v>137</v>
      </c>
      <c r="N450" s="5" t="n">
        <v>134</v>
      </c>
      <c r="O450" s="5" t="n">
        <f aca="false">M450-N450</f>
        <v>3</v>
      </c>
      <c r="P450" s="8" t="n">
        <f aca="false">IFERROR(I450/G450,0)</f>
        <v>0.538461538461538</v>
      </c>
      <c r="Q450" s="8" t="n">
        <f aca="false">IFERROR(M450/L450,0)</f>
        <v>0.782857142857143</v>
      </c>
      <c r="R450" s="8" t="n">
        <f aca="false">IFERROR(N450/M450,0)</f>
        <v>0.978102189781022</v>
      </c>
      <c r="S450" s="8" t="n">
        <f aca="false">P450*Q450*R450</f>
        <v>0.412307692307692</v>
      </c>
    </row>
    <row r="451" customFormat="false" ht="15" hidden="false" customHeight="false" outlineLevel="0" collapsed="false">
      <c r="A451" s="4" t="n">
        <v>46200</v>
      </c>
      <c r="B451" s="5" t="n">
        <f aca="false">MONTH($A451)</f>
        <v>6</v>
      </c>
      <c r="C451" s="5" t="n">
        <v>2</v>
      </c>
      <c r="D451" s="6" t="str">
        <f aca="false">INDEX(Parametros!$B$16:$B$18,MATCH($C451,Parametros!$A$16:$A$18,0))</f>
        <v>E2 - Llenado y tapado</v>
      </c>
      <c r="E451" s="7" t="n">
        <f aca="false">IF(WEEKDAY($A451,2)&lt;6,Parametros!$B$21,Parametros!$B$22)</f>
        <v>4</v>
      </c>
      <c r="F451" s="7" t="n">
        <v>1</v>
      </c>
      <c r="G451" s="7" t="n">
        <f aca="false">E451-F451</f>
        <v>3</v>
      </c>
      <c r="H451" s="7" t="n">
        <v>1.5</v>
      </c>
      <c r="I451" s="7" t="n">
        <f aca="false">G451-H451</f>
        <v>1.5</v>
      </c>
      <c r="J451" s="6" t="s">
        <v>28</v>
      </c>
      <c r="K451" s="5" t="n">
        <f aca="false">INDEX(Parametros!$C$16:$C$18,MATCH($C451,Parametros!$A$16:$A$18,0))</f>
        <v>95</v>
      </c>
      <c r="L451" s="5" t="n">
        <f aca="false">I451*K451</f>
        <v>142.5</v>
      </c>
      <c r="M451" s="5" t="n">
        <v>134</v>
      </c>
      <c r="N451" s="5" t="n">
        <v>132</v>
      </c>
      <c r="O451" s="5" t="n">
        <f aca="false">M451-N451</f>
        <v>2</v>
      </c>
      <c r="P451" s="8" t="n">
        <f aca="false">IFERROR(I451/G451,0)</f>
        <v>0.5</v>
      </c>
      <c r="Q451" s="8" t="n">
        <f aca="false">IFERROR(M451/L451,0)</f>
        <v>0.940350877192983</v>
      </c>
      <c r="R451" s="8" t="n">
        <f aca="false">IFERROR(N451/M451,0)</f>
        <v>0.985074626865672</v>
      </c>
      <c r="S451" s="8" t="n">
        <f aca="false">P451*Q451*R451</f>
        <v>0.463157894736842</v>
      </c>
    </row>
    <row r="452" customFormat="false" ht="15" hidden="false" customHeight="false" outlineLevel="0" collapsed="false">
      <c r="A452" s="4" t="n">
        <v>46200</v>
      </c>
      <c r="B452" s="5" t="n">
        <f aca="false">MONTH($A452)</f>
        <v>6</v>
      </c>
      <c r="C452" s="5" t="n">
        <v>3</v>
      </c>
      <c r="D452" s="6" t="str">
        <f aca="false">INDEX(Parametros!$B$16:$B$18,MATCH($C452,Parametros!$A$16:$A$18,0))</f>
        <v>E3 - Sellado y etiquetado</v>
      </c>
      <c r="E452" s="7" t="n">
        <f aca="false">IF(WEEKDAY($A452,2)&lt;6,Parametros!$B$21,Parametros!$B$22)</f>
        <v>4</v>
      </c>
      <c r="F452" s="7" t="n">
        <v>0.5</v>
      </c>
      <c r="G452" s="7" t="n">
        <f aca="false">E452-F452</f>
        <v>3.5</v>
      </c>
      <c r="H452" s="7" t="n">
        <v>1.5</v>
      </c>
      <c r="I452" s="7" t="n">
        <f aca="false">G452-H452</f>
        <v>2</v>
      </c>
      <c r="J452" s="6" t="s">
        <v>29</v>
      </c>
      <c r="K452" s="5" t="n">
        <f aca="false">INDEX(Parametros!$C$16:$C$18,MATCH($C452,Parametros!$A$16:$A$18,0))</f>
        <v>95</v>
      </c>
      <c r="L452" s="5" t="n">
        <f aca="false">I452*K452</f>
        <v>190</v>
      </c>
      <c r="M452" s="5" t="n">
        <v>132</v>
      </c>
      <c r="N452" s="5" t="n">
        <v>131</v>
      </c>
      <c r="O452" s="5" t="n">
        <f aca="false">M452-N452</f>
        <v>1</v>
      </c>
      <c r="P452" s="8" t="n">
        <f aca="false">IFERROR(I452/G452,0)</f>
        <v>0.571428571428571</v>
      </c>
      <c r="Q452" s="8" t="n">
        <f aca="false">IFERROR(M452/L452,0)</f>
        <v>0.694736842105263</v>
      </c>
      <c r="R452" s="8" t="n">
        <f aca="false">IFERROR(N452/M452,0)</f>
        <v>0.992424242424242</v>
      </c>
      <c r="S452" s="8" t="n">
        <f aca="false">P452*Q452*R452</f>
        <v>0.393984962406015</v>
      </c>
    </row>
    <row r="453" customFormat="false" ht="15" hidden="false" customHeight="false" outlineLevel="0" collapsed="false">
      <c r="A453" s="4" t="n">
        <v>46203</v>
      </c>
      <c r="B453" s="5" t="n">
        <f aca="false">MONTH($A453)</f>
        <v>6</v>
      </c>
      <c r="C453" s="5" t="n">
        <v>1</v>
      </c>
      <c r="D453" s="6" t="str">
        <f aca="false">INDEX(Parametros!$B$16:$B$18,MATCH($C453,Parametros!$A$16:$A$18,0))</f>
        <v>E1 - Lavado y sanitizado de bidones</v>
      </c>
      <c r="E453" s="7" t="n">
        <f aca="false">IF(WEEKDAY($A453,2)&lt;6,Parametros!$B$21,Parametros!$B$22)</f>
        <v>6</v>
      </c>
      <c r="F453" s="7" t="n">
        <v>0.5</v>
      </c>
      <c r="G453" s="7" t="n">
        <f aca="false">E453-F453</f>
        <v>5.5</v>
      </c>
      <c r="H453" s="7" t="n">
        <v>0.5</v>
      </c>
      <c r="I453" s="7" t="n">
        <f aca="false">G453-H453</f>
        <v>5</v>
      </c>
      <c r="J453" s="6" t="s">
        <v>24</v>
      </c>
      <c r="K453" s="5" t="n">
        <f aca="false">INDEX(Parametros!$C$16:$C$18,MATCH($C453,Parametros!$A$16:$A$18,0))</f>
        <v>100</v>
      </c>
      <c r="L453" s="5" t="n">
        <f aca="false">I453*K453</f>
        <v>500</v>
      </c>
      <c r="M453" s="5" t="n">
        <v>262</v>
      </c>
      <c r="N453" s="5" t="n">
        <v>258</v>
      </c>
      <c r="O453" s="5" t="n">
        <f aca="false">M453-N453</f>
        <v>4</v>
      </c>
      <c r="P453" s="8" t="n">
        <f aca="false">IFERROR(I453/G453,0)</f>
        <v>0.909090909090909</v>
      </c>
      <c r="Q453" s="8" t="n">
        <f aca="false">IFERROR(M453/L453,0)</f>
        <v>0.524</v>
      </c>
      <c r="R453" s="8" t="n">
        <f aca="false">IFERROR(N453/M453,0)</f>
        <v>0.984732824427481</v>
      </c>
      <c r="S453" s="8" t="n">
        <f aca="false">P453*Q453*R453</f>
        <v>0.469090909090909</v>
      </c>
    </row>
    <row r="454" customFormat="false" ht="15" hidden="false" customHeight="false" outlineLevel="0" collapsed="false">
      <c r="A454" s="4" t="n">
        <v>46203</v>
      </c>
      <c r="B454" s="5" t="n">
        <f aca="false">MONTH($A454)</f>
        <v>6</v>
      </c>
      <c r="C454" s="5" t="n">
        <v>2</v>
      </c>
      <c r="D454" s="6" t="str">
        <f aca="false">INDEX(Parametros!$B$16:$B$18,MATCH($C454,Parametros!$A$16:$A$18,0))</f>
        <v>E2 - Llenado y tapado</v>
      </c>
      <c r="E454" s="7" t="n">
        <f aca="false">IF(WEEKDAY($A454,2)&lt;6,Parametros!$B$21,Parametros!$B$22)</f>
        <v>6</v>
      </c>
      <c r="F454" s="7" t="n">
        <v>0.75</v>
      </c>
      <c r="G454" s="7" t="n">
        <f aca="false">E454-F454</f>
        <v>5.25</v>
      </c>
      <c r="H454" s="7" t="n">
        <v>0.75</v>
      </c>
      <c r="I454" s="7" t="n">
        <f aca="false">G454-H454</f>
        <v>4.5</v>
      </c>
      <c r="J454" s="6" t="s">
        <v>28</v>
      </c>
      <c r="K454" s="5" t="n">
        <f aca="false">INDEX(Parametros!$C$16:$C$18,MATCH($C454,Parametros!$A$16:$A$18,0))</f>
        <v>95</v>
      </c>
      <c r="L454" s="5" t="n">
        <f aca="false">I454*K454</f>
        <v>427.5</v>
      </c>
      <c r="M454" s="5" t="n">
        <v>258</v>
      </c>
      <c r="N454" s="5" t="n">
        <v>252</v>
      </c>
      <c r="O454" s="5" t="n">
        <f aca="false">M454-N454</f>
        <v>6</v>
      </c>
      <c r="P454" s="8" t="n">
        <f aca="false">IFERROR(I454/G454,0)</f>
        <v>0.857142857142857</v>
      </c>
      <c r="Q454" s="8" t="n">
        <f aca="false">IFERROR(M454/L454,0)</f>
        <v>0.603508771929825</v>
      </c>
      <c r="R454" s="8" t="n">
        <f aca="false">IFERROR(N454/M454,0)</f>
        <v>0.976744186046512</v>
      </c>
      <c r="S454" s="8" t="n">
        <f aca="false">P454*Q454*R454</f>
        <v>0.505263157894737</v>
      </c>
    </row>
    <row r="455" customFormat="false" ht="15" hidden="false" customHeight="false" outlineLevel="0" collapsed="false">
      <c r="A455" s="4" t="n">
        <v>46203</v>
      </c>
      <c r="B455" s="5" t="n">
        <f aca="false">MONTH($A455)</f>
        <v>6</v>
      </c>
      <c r="C455" s="5" t="n">
        <v>3</v>
      </c>
      <c r="D455" s="6" t="str">
        <f aca="false">INDEX(Parametros!$B$16:$B$18,MATCH($C455,Parametros!$A$16:$A$18,0))</f>
        <v>E3 - Sellado y etiquetado</v>
      </c>
      <c r="E455" s="7" t="n">
        <f aca="false">IF(WEEKDAY($A455,2)&lt;6,Parametros!$B$21,Parametros!$B$22)</f>
        <v>6</v>
      </c>
      <c r="F455" s="7" t="n">
        <v>0.5</v>
      </c>
      <c r="G455" s="7" t="n">
        <f aca="false">E455-F455</f>
        <v>5.5</v>
      </c>
      <c r="H455" s="7" t="n">
        <v>0.5</v>
      </c>
      <c r="I455" s="7" t="n">
        <f aca="false">G455-H455</f>
        <v>5</v>
      </c>
      <c r="J455" s="6" t="s">
        <v>25</v>
      </c>
      <c r="K455" s="5" t="n">
        <f aca="false">INDEX(Parametros!$C$16:$C$18,MATCH($C455,Parametros!$A$16:$A$18,0))</f>
        <v>95</v>
      </c>
      <c r="L455" s="5" t="n">
        <f aca="false">I455*K455</f>
        <v>475</v>
      </c>
      <c r="M455" s="5" t="n">
        <v>252</v>
      </c>
      <c r="N455" s="5" t="n">
        <v>248</v>
      </c>
      <c r="O455" s="5" t="n">
        <f aca="false">M455-N455</f>
        <v>4</v>
      </c>
      <c r="P455" s="8" t="n">
        <f aca="false">IFERROR(I455/G455,0)</f>
        <v>0.909090909090909</v>
      </c>
      <c r="Q455" s="8" t="n">
        <f aca="false">IFERROR(M455/L455,0)</f>
        <v>0.530526315789474</v>
      </c>
      <c r="R455" s="8" t="n">
        <f aca="false">IFERROR(N455/M455,0)</f>
        <v>0.984126984126984</v>
      </c>
      <c r="S455" s="8" t="n">
        <f aca="false">P455*Q455*R455</f>
        <v>0.474641148325359</v>
      </c>
    </row>
    <row r="458" customFormat="false" ht="15" hidden="false" customHeight="false" outlineLevel="0" collapsed="false">
      <c r="A458" s="9" t="s">
        <v>33</v>
      </c>
      <c r="B458" s="9"/>
      <c r="C458" s="9"/>
      <c r="D458" s="9"/>
      <c r="E458" s="9"/>
      <c r="F458" s="9"/>
    </row>
    <row r="459" customFormat="false" ht="15" hidden="false" customHeight="false" outlineLevel="0" collapsed="false">
      <c r="A459" s="10" t="s">
        <v>34</v>
      </c>
      <c r="B459" s="10" t="s">
        <v>35</v>
      </c>
      <c r="C459" s="10" t="s">
        <v>36</v>
      </c>
      <c r="D459" s="10" t="s">
        <v>37</v>
      </c>
      <c r="E459" s="10" t="s">
        <v>38</v>
      </c>
      <c r="F459" s="10" t="s">
        <v>39</v>
      </c>
    </row>
    <row r="460" customFormat="false" ht="15" hidden="false" customHeight="false" outlineLevel="0" collapsed="false">
      <c r="A460" s="11" t="s">
        <v>40</v>
      </c>
      <c r="B460" s="8" t="n">
        <f aca="false">B461*B462*B463</f>
        <v>0.556039344262295</v>
      </c>
      <c r="C460" s="8" t="n">
        <f aca="false">C461*C462*C463</f>
        <v>0.603156082978531</v>
      </c>
      <c r="D460" s="8" t="n">
        <f aca="false">D461*D462*D463</f>
        <v>0.54253947368421</v>
      </c>
      <c r="E460" s="8" t="n">
        <v>0.45</v>
      </c>
      <c r="F460" s="8" t="n">
        <v>0.7</v>
      </c>
    </row>
    <row r="461" customFormat="false" ht="15" hidden="false" customHeight="false" outlineLevel="0" collapsed="false">
      <c r="A461" s="11" t="s">
        <v>41</v>
      </c>
      <c r="B461" s="8" t="n">
        <f aca="false">IFERROR(SUMIFS($I$6:$I$455,$C$6:$C$455,1)/SUMIFS($G$6:$G$455,$C$6:$C$455,1),0)</f>
        <v>0.893770491803279</v>
      </c>
      <c r="C461" s="8" t="n">
        <f aca="false">IFERROR(SUMIFS($I$6:$I$455,$C$6:$C$455,2)/SUMIFS($G$6:$G$455,$C$6:$C$455,2),0)</f>
        <v>0.846127366609294</v>
      </c>
      <c r="D461" s="8" t="n">
        <f aca="false">IFERROR(SUMIFS($I$6:$I$455,$C$6:$C$455,3)/SUMIFS($G$6:$G$455,$C$6:$C$455,3),0)</f>
        <v>0.9153125</v>
      </c>
      <c r="E461" s="8" t="n">
        <v>0.75</v>
      </c>
      <c r="F461" s="8" t="n">
        <v>0.95</v>
      </c>
    </row>
    <row r="462" customFormat="false" ht="15" hidden="false" customHeight="false" outlineLevel="0" collapsed="false">
      <c r="A462" s="11" t="s">
        <v>42</v>
      </c>
      <c r="B462" s="8" t="n">
        <f aca="false">IFERROR(SUMIFS($M$6:$M$455,$C$6:$C$455,1)/SUMIFS($L$6:$L$455,$C$6:$C$455,1),0)</f>
        <v>0.629391049156273</v>
      </c>
      <c r="C462" s="8" t="n">
        <f aca="false">IFERROR(SUMIFS($M$6:$M$455,$C$6:$C$455,2)/SUMIFS($L$6:$L$455,$C$6:$C$455,2),0)</f>
        <v>0.726272964755257</v>
      </c>
      <c r="D462" s="8" t="n">
        <f aca="false">IFERROR(SUMIFS($M$6:$M$455,$C$6:$C$455,3)/SUMIFS($L$6:$L$455,$C$6:$C$455,3),0)</f>
        <v>0.59821386857379</v>
      </c>
      <c r="E462" s="8" t="n">
        <v>0.5</v>
      </c>
      <c r="F462" s="8" t="n">
        <v>0.85</v>
      </c>
    </row>
    <row r="463" customFormat="false" ht="15" hidden="false" customHeight="false" outlineLevel="0" collapsed="false">
      <c r="A463" s="11" t="s">
        <v>43</v>
      </c>
      <c r="B463" s="8" t="n">
        <f aca="false">IFERROR(SUMIFS($N$6:$N$455,$C$6:$C$455,1)/SUMIFS($M$6:$M$455,$C$6:$C$455,1),0)</f>
        <v>0.988459655421631</v>
      </c>
      <c r="C463" s="8" t="n">
        <f aca="false">IFERROR(SUMIFS($N$6:$N$455,$C$6:$C$455,2)/SUMIFS($M$6:$M$455,$C$6:$C$455,2),0)</f>
        <v>0.98150856172461</v>
      </c>
      <c r="D463" s="8" t="n">
        <f aca="false">IFERROR(SUMIFS($N$6:$N$455,$C$6:$C$455,3)/SUMIFS($M$6:$M$455,$C$6:$C$455,3),0)</f>
        <v>0.990844427356178</v>
      </c>
      <c r="E463" s="8" t="n">
        <v>0.96</v>
      </c>
      <c r="F463" s="8" t="n">
        <v>0.995</v>
      </c>
    </row>
    <row r="464" customFormat="false" ht="15" hidden="false" customHeight="false" outlineLevel="0" collapsed="false">
      <c r="A464" s="11" t="s">
        <v>44</v>
      </c>
      <c r="B464" s="12" t="n">
        <f aca="false">SUMIFS($M$6:$M$455,$C$6:$C$455,1)</f>
        <v>42893</v>
      </c>
      <c r="C464" s="12" t="n">
        <f aca="false">SUMIFS($M$6:$M$455,$C$6:$C$455,2)</f>
        <v>42398</v>
      </c>
      <c r="D464" s="12" t="n">
        <f aca="false">SUMIFS($M$6:$M$455,$C$6:$C$455,3)</f>
        <v>41614</v>
      </c>
    </row>
    <row r="466" customFormat="false" ht="15" hidden="false" customHeight="false" outlineLevel="0" collapsed="false">
      <c r="A466" s="9" t="s">
        <v>45</v>
      </c>
      <c r="B466" s="9"/>
      <c r="C466" s="9"/>
      <c r="D466" s="9"/>
    </row>
    <row r="467" customFormat="false" ht="15" hidden="false" customHeight="false" outlineLevel="0" collapsed="false">
      <c r="A467" s="13" t="s">
        <v>46</v>
      </c>
      <c r="B467" s="13"/>
      <c r="C467" s="13"/>
      <c r="D467" s="14" t="str">
        <f aca="false">IF(SUMIFS($N$6:$N$455,$C$6:$C$455,1)=SUMIFS($M$6:$M$455,$C$6:$C$455,2),"OK","REVISAR")</f>
        <v>OK</v>
      </c>
    </row>
    <row r="468" customFormat="false" ht="15" hidden="false" customHeight="false" outlineLevel="0" collapsed="false">
      <c r="A468" s="13" t="s">
        <v>47</v>
      </c>
      <c r="B468" s="13"/>
      <c r="C468" s="13"/>
      <c r="D468" s="14" t="str">
        <f aca="false">IF(SUMIFS($N$6:$N$455,$C$6:$C$455,2)=SUMIFS($M$6:$M$455,$C$6:$C$455,3),"OK","REVISAR")</f>
        <v>OK</v>
      </c>
    </row>
    <row r="469" customFormat="false" ht="15" hidden="false" customHeight="false" outlineLevel="0" collapsed="false">
      <c r="A469" s="13" t="s">
        <v>48</v>
      </c>
      <c r="B469" s="13"/>
      <c r="C469" s="13"/>
      <c r="D469" s="5" t="n">
        <f aca="false">COUNTIF($Q$6:$Q$455,"&gt;1")</f>
        <v>0</v>
      </c>
    </row>
    <row r="470" customFormat="false" ht="15" hidden="false" customHeight="false" outlineLevel="0" collapsed="false">
      <c r="A470" s="13" t="s">
        <v>49</v>
      </c>
      <c r="B470" s="13"/>
      <c r="C470" s="13"/>
      <c r="D470" s="5" t="n">
        <f aca="false">SUMPRODUCT(--($N$6:$N$455&gt;$M$6:$M$455))</f>
        <v>0</v>
      </c>
    </row>
    <row r="471" customFormat="false" ht="15" hidden="false" customHeight="false" outlineLevel="0" collapsed="false">
      <c r="A471" s="13" t="s">
        <v>50</v>
      </c>
      <c r="B471" s="13"/>
      <c r="C471" s="13"/>
      <c r="D471" s="5" t="n">
        <f aca="false">COUNTIF($I$6:$I$455,"&lt;0")</f>
        <v>0</v>
      </c>
    </row>
    <row r="472" customFormat="false" ht="15" hidden="false" customHeight="false" outlineLevel="0" collapsed="false">
      <c r="A472" s="13" t="s">
        <v>51</v>
      </c>
      <c r="B472" s="13"/>
      <c r="C472" s="13"/>
      <c r="D472" s="5" t="n">
        <f aca="false">COUNTIF($C$6:$C$455,3)</f>
        <v>150</v>
      </c>
    </row>
    <row r="473" customFormat="false" ht="15" hidden="false" customHeight="false" outlineLevel="0" collapsed="false">
      <c r="A473" s="13" t="s">
        <v>52</v>
      </c>
      <c r="B473" s="13"/>
      <c r="C473" s="13"/>
      <c r="D473" s="5" t="n">
        <f aca="false">COUNTIFS($C$6:$C$455,3,$M$6:$M$455,0)</f>
        <v>3</v>
      </c>
    </row>
    <row r="474" customFormat="false" ht="15" hidden="false" customHeight="false" outlineLevel="0" collapsed="false">
      <c r="A474" s="13" t="s">
        <v>53</v>
      </c>
      <c r="B474" s="13"/>
      <c r="C474" s="13"/>
      <c r="D474" s="12" t="n">
        <f aca="false">SUMIFS($N$6:$N$455,$C$6:$C$455,3)</f>
        <v>41233</v>
      </c>
    </row>
    <row r="475" customFormat="false" ht="15" hidden="false" customHeight="false" outlineLevel="0" collapsed="false">
      <c r="A475" s="13" t="s">
        <v>54</v>
      </c>
      <c r="B475" s="13"/>
      <c r="C475" s="13"/>
      <c r="D475" s="12" t="n">
        <f aca="false">SUMIFS($N$6:$N$455,$C$6:$C$455,3)*20</f>
        <v>824660</v>
      </c>
    </row>
    <row r="476" customFormat="false" ht="15" hidden="false" customHeight="false" outlineLevel="0" collapsed="false">
      <c r="A476" s="13" t="s">
        <v>55</v>
      </c>
      <c r="B476" s="13"/>
      <c r="C476" s="13"/>
      <c r="D476" s="15" t="n">
        <f aca="false">IFERROR(SUMIFS($N$6:$N$455,$C$6:$C$455,3)/COUNTIF($C$6:$C$455,3),0)</f>
        <v>274.886666666667</v>
      </c>
    </row>
  </sheetData>
  <mergeCells count="15">
    <mergeCell ref="A1:S1"/>
    <mergeCell ref="A2:S2"/>
    <mergeCell ref="A3:S3"/>
    <mergeCell ref="A458:F458"/>
    <mergeCell ref="A466:D466"/>
    <mergeCell ref="A467:C467"/>
    <mergeCell ref="A468:C468"/>
    <mergeCell ref="A469:C469"/>
    <mergeCell ref="A470:C470"/>
    <mergeCell ref="A471:C471"/>
    <mergeCell ref="A472:C472"/>
    <mergeCell ref="A473:C473"/>
    <mergeCell ref="A474:C474"/>
    <mergeCell ref="A475:C475"/>
    <mergeCell ref="A476:C476"/>
  </mergeCells>
  <conditionalFormatting sqref="P6:P455">
    <cfRule type="colorScale" priority="2">
      <colorScale>
        <cfvo type="min" val="0"/>
        <cfvo type="percentile" val="50"/>
        <cfvo type="max" val="0"/>
        <color rgb="FFF4CCCC"/>
        <color rgb="FFFFF2CC"/>
        <color rgb="FFD9EAD3"/>
      </colorScale>
    </cfRule>
  </conditionalFormatting>
  <conditionalFormatting sqref="Q6:Q455">
    <cfRule type="colorScale" priority="3">
      <colorScale>
        <cfvo type="min" val="0"/>
        <cfvo type="percentile" val="50"/>
        <cfvo type="max" val="0"/>
        <color rgb="FFF4CCCC"/>
        <color rgb="FFFFF2CC"/>
        <color rgb="FFD9EAD3"/>
      </colorScale>
    </cfRule>
  </conditionalFormatting>
  <conditionalFormatting sqref="R6:R455">
    <cfRule type="colorScale" priority="4">
      <colorScale>
        <cfvo type="min" val="0"/>
        <cfvo type="percentile" val="50"/>
        <cfvo type="max" val="0"/>
        <color rgb="FFF4CCCC"/>
        <color rgb="FFFFF2CC"/>
        <color rgb="FFD9EAD3"/>
      </colorScale>
    </cfRule>
  </conditionalFormatting>
  <conditionalFormatting sqref="S6:S455">
    <cfRule type="colorScale" priority="5">
      <colorScale>
        <cfvo type="min" val="0"/>
        <cfvo type="percentile" val="50"/>
        <cfvo type="max" val="0"/>
        <color rgb="FFF4CCCC"/>
        <color rgb="FFFFF2CC"/>
        <color rgb="FFD9EAD3"/>
      </colorScale>
    </cfRule>
  </conditionalFormatting>
  <dataValidations count="2">
    <dataValidation allowBlank="false" error="Seleccione una causa del catálogo de la hoja Parametros." errorStyle="stop" errorTitle="Causa no válida" operator="between" showDropDown="false" showErrorMessage="true" showInputMessage="false" sqref="J6:J455" type="list">
      <formula1>Parametros!$F$16:$F$26</formula1>
      <formula2>0</formula2>
    </dataValidation>
    <dataValidation allowBlank="false" error="Los bidones se registran como números enteros no negativos." errorStyle="stop" errorTitle="Valor no válido" operator="greaterThanOrEqual" showDropDown="false" showErrorMessage="true" showInputMessage="false" sqref="M6:N455"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7"/>
    <col collapsed="false" customWidth="true" hidden="false" outlineLevel="0" max="4" min="4" style="0" width="24"/>
    <col collapsed="false" customWidth="true" hidden="false" outlineLevel="0" max="5" min="5" style="0" width="3"/>
    <col collapsed="false" customWidth="true" hidden="false" outlineLevel="0" max="6" min="6" style="0" width="42"/>
    <col collapsed="false" customWidth="true" hidden="false" outlineLevel="0" max="7" min="7" style="0" width="12"/>
  </cols>
  <sheetData>
    <row r="1" customFormat="false" ht="25.5" hidden="false" customHeight="true" outlineLevel="0" collapsed="false">
      <c r="A1" s="1" t="s">
        <v>56</v>
      </c>
      <c r="B1" s="1"/>
      <c r="C1" s="1"/>
      <c r="D1" s="1"/>
    </row>
    <row r="2" customFormat="false" ht="15" hidden="false" customHeight="false" outlineLevel="0" collapsed="false">
      <c r="A2" s="2" t="s">
        <v>57</v>
      </c>
      <c r="B2" s="2"/>
      <c r="C2" s="2"/>
      <c r="D2" s="2"/>
    </row>
    <row r="4" customFormat="false" ht="15" hidden="false" customHeight="false" outlineLevel="0" collapsed="false">
      <c r="A4" s="9" t="s">
        <v>58</v>
      </c>
      <c r="B4" s="9"/>
      <c r="C4" s="9"/>
      <c r="D4" s="9"/>
    </row>
    <row r="5" customFormat="false" ht="15" hidden="false" customHeight="false" outlineLevel="0" collapsed="false">
      <c r="A5" s="11" t="s">
        <v>59</v>
      </c>
      <c r="B5" s="13" t="s">
        <v>60</v>
      </c>
      <c r="C5" s="13"/>
      <c r="D5" s="13"/>
    </row>
    <row r="6" customFormat="false" ht="15" hidden="false" customHeight="false" outlineLevel="0" collapsed="false">
      <c r="A6" s="11" t="s">
        <v>61</v>
      </c>
      <c r="B6" s="13" t="s">
        <v>62</v>
      </c>
      <c r="C6" s="13"/>
      <c r="D6" s="13"/>
    </row>
    <row r="7" customFormat="false" ht="15" hidden="false" customHeight="false" outlineLevel="0" collapsed="false">
      <c r="A7" s="11" t="s">
        <v>63</v>
      </c>
      <c r="B7" s="13" t="s">
        <v>64</v>
      </c>
      <c r="C7" s="13"/>
      <c r="D7" s="13"/>
    </row>
    <row r="8" customFormat="false" ht="15" hidden="false" customHeight="false" outlineLevel="0" collapsed="false">
      <c r="A8" s="11" t="s">
        <v>65</v>
      </c>
      <c r="B8" s="13" t="s">
        <v>66</v>
      </c>
      <c r="C8" s="13"/>
      <c r="D8" s="13"/>
    </row>
    <row r="9" customFormat="false" ht="15" hidden="false" customHeight="false" outlineLevel="0" collapsed="false">
      <c r="A9" s="11" t="s">
        <v>67</v>
      </c>
      <c r="B9" s="13" t="s">
        <v>68</v>
      </c>
      <c r="C9" s="13"/>
      <c r="D9" s="13"/>
    </row>
    <row r="10" customFormat="false" ht="15" hidden="false" customHeight="false" outlineLevel="0" collapsed="false">
      <c r="A10" s="11" t="s">
        <v>69</v>
      </c>
      <c r="B10" s="13" t="s">
        <v>70</v>
      </c>
      <c r="C10" s="13"/>
      <c r="D10" s="13"/>
    </row>
    <row r="11" customFormat="false" ht="15" hidden="false" customHeight="false" outlineLevel="0" collapsed="false">
      <c r="A11" s="11" t="s">
        <v>71</v>
      </c>
      <c r="B11" s="13" t="s">
        <v>72</v>
      </c>
      <c r="C11" s="13"/>
      <c r="D11" s="13"/>
    </row>
    <row r="12" customFormat="false" ht="15" hidden="false" customHeight="false" outlineLevel="0" collapsed="false">
      <c r="A12" s="11" t="s">
        <v>73</v>
      </c>
      <c r="B12" s="13" t="s">
        <v>74</v>
      </c>
      <c r="C12" s="13"/>
      <c r="D12" s="13"/>
    </row>
    <row r="14" customFormat="false" ht="15" hidden="false" customHeight="false" outlineLevel="0" collapsed="false">
      <c r="A14" s="9" t="s">
        <v>75</v>
      </c>
      <c r="B14" s="9"/>
      <c r="C14" s="9"/>
      <c r="D14" s="9"/>
      <c r="F14" s="16" t="s">
        <v>76</v>
      </c>
    </row>
    <row r="15" customFormat="false" ht="30" hidden="false" customHeight="true" outlineLevel="0" collapsed="false">
      <c r="A15" s="17" t="s">
        <v>5</v>
      </c>
      <c r="B15" s="17" t="s">
        <v>6</v>
      </c>
      <c r="C15" s="17" t="s">
        <v>13</v>
      </c>
      <c r="D15" s="17" t="s">
        <v>77</v>
      </c>
      <c r="F15" s="10" t="s">
        <v>78</v>
      </c>
    </row>
    <row r="16" customFormat="false" ht="15" hidden="false" customHeight="false" outlineLevel="0" collapsed="false">
      <c r="A16" s="18" t="n">
        <v>1</v>
      </c>
      <c r="B16" s="19" t="s">
        <v>79</v>
      </c>
      <c r="C16" s="20" t="n">
        <v>100</v>
      </c>
      <c r="D16" s="21" t="n">
        <v>0.012</v>
      </c>
      <c r="F16" s="19" t="s">
        <v>28</v>
      </c>
    </row>
    <row r="17" customFormat="false" ht="15" hidden="false" customHeight="false" outlineLevel="0" collapsed="false">
      <c r="A17" s="18" t="n">
        <v>2</v>
      </c>
      <c r="B17" s="19" t="s">
        <v>80</v>
      </c>
      <c r="C17" s="20" t="n">
        <v>95</v>
      </c>
      <c r="D17" s="21" t="n">
        <v>0.018</v>
      </c>
      <c r="F17" s="19" t="s">
        <v>22</v>
      </c>
    </row>
    <row r="18" customFormat="false" ht="15" hidden="false" customHeight="false" outlineLevel="0" collapsed="false">
      <c r="A18" s="18" t="n">
        <v>3</v>
      </c>
      <c r="B18" s="19" t="s">
        <v>81</v>
      </c>
      <c r="C18" s="20" t="n">
        <v>95</v>
      </c>
      <c r="D18" s="21" t="n">
        <v>0.009</v>
      </c>
      <c r="F18" s="19" t="s">
        <v>29</v>
      </c>
    </row>
    <row r="19" customFormat="false" ht="15" hidden="false" customHeight="false" outlineLevel="0" collapsed="false">
      <c r="F19" s="19" t="s">
        <v>24</v>
      </c>
    </row>
    <row r="20" customFormat="false" ht="15" hidden="false" customHeight="false" outlineLevel="0" collapsed="false">
      <c r="A20" s="9" t="s">
        <v>82</v>
      </c>
      <c r="B20" s="9"/>
      <c r="C20" s="9"/>
      <c r="D20" s="9"/>
      <c r="F20" s="19" t="s">
        <v>23</v>
      </c>
    </row>
    <row r="21" customFormat="false" ht="15" hidden="false" customHeight="false" outlineLevel="0" collapsed="false">
      <c r="A21" s="11" t="s">
        <v>83</v>
      </c>
      <c r="B21" s="22" t="n">
        <v>6</v>
      </c>
      <c r="F21" s="19" t="s">
        <v>25</v>
      </c>
    </row>
    <row r="22" customFormat="false" ht="15" hidden="false" customHeight="false" outlineLevel="0" collapsed="false">
      <c r="A22" s="11" t="s">
        <v>84</v>
      </c>
      <c r="B22" s="22" t="n">
        <v>4</v>
      </c>
      <c r="F22" s="19" t="s">
        <v>30</v>
      </c>
    </row>
    <row r="23" customFormat="false" ht="15" hidden="false" customHeight="true" outlineLevel="0" collapsed="false">
      <c r="A23" s="11" t="s">
        <v>85</v>
      </c>
      <c r="B23" s="23" t="s">
        <v>86</v>
      </c>
      <c r="C23" s="23"/>
      <c r="D23" s="23"/>
      <c r="F23" s="19" t="s">
        <v>26</v>
      </c>
    </row>
    <row r="24" customFormat="false" ht="15" hidden="false" customHeight="true" outlineLevel="0" collapsed="false">
      <c r="A24" s="11" t="s">
        <v>87</v>
      </c>
      <c r="B24" s="23" t="s">
        <v>88</v>
      </c>
      <c r="C24" s="23"/>
      <c r="D24" s="23"/>
      <c r="F24" s="19" t="s">
        <v>31</v>
      </c>
    </row>
    <row r="25" customFormat="false" ht="15" hidden="false" customHeight="true" outlineLevel="0" collapsed="false">
      <c r="A25" s="11" t="s">
        <v>89</v>
      </c>
      <c r="B25" s="23" t="s">
        <v>90</v>
      </c>
      <c r="C25" s="23"/>
      <c r="D25" s="23"/>
      <c r="F25" s="19" t="s">
        <v>32</v>
      </c>
    </row>
    <row r="26" customFormat="false" ht="15" hidden="false" customHeight="true" outlineLevel="0" collapsed="false">
      <c r="A26" s="11" t="s">
        <v>91</v>
      </c>
      <c r="B26" s="23" t="s">
        <v>92</v>
      </c>
      <c r="C26" s="23"/>
      <c r="D26" s="23"/>
      <c r="F26" s="19" t="s">
        <v>27</v>
      </c>
    </row>
    <row r="27" customFormat="false" ht="15" hidden="false" customHeight="true" outlineLevel="0" collapsed="false">
      <c r="A27" s="11" t="s">
        <v>93</v>
      </c>
      <c r="B27" s="23" t="s">
        <v>94</v>
      </c>
      <c r="C27" s="23"/>
      <c r="D27" s="23"/>
    </row>
    <row r="28" customFormat="false" ht="23.85" hidden="false" customHeight="false" outlineLevel="0" collapsed="false">
      <c r="F28" s="24" t="s">
        <v>95</v>
      </c>
    </row>
    <row r="29" customFormat="false" ht="15" hidden="false" customHeight="false" outlineLevel="0" collapsed="false">
      <c r="A29" s="9" t="s">
        <v>96</v>
      </c>
      <c r="B29" s="9"/>
      <c r="C29" s="9"/>
      <c r="D29" s="9"/>
    </row>
    <row r="30" customFormat="false" ht="15" hidden="false" customHeight="false" outlineLevel="0" collapsed="false">
      <c r="A30" s="10" t="s">
        <v>97</v>
      </c>
      <c r="B30" s="10" t="s">
        <v>98</v>
      </c>
      <c r="C30" s="10" t="s">
        <v>99</v>
      </c>
      <c r="D30" s="10" t="s">
        <v>100</v>
      </c>
    </row>
    <row r="31" customFormat="false" ht="55.2" hidden="false" customHeight="false" outlineLevel="0" collapsed="false">
      <c r="A31" s="11" t="s">
        <v>40</v>
      </c>
      <c r="B31" s="21" t="n">
        <v>0.45</v>
      </c>
      <c r="C31" s="21" t="n">
        <v>0.7</v>
      </c>
      <c r="D31" s="25" t="s">
        <v>101</v>
      </c>
    </row>
    <row r="32" customFormat="false" ht="41.75" hidden="false" customHeight="false" outlineLevel="0" collapsed="false">
      <c r="A32" s="11" t="s">
        <v>41</v>
      </c>
      <c r="B32" s="21" t="n">
        <v>0.75</v>
      </c>
      <c r="C32" s="21" t="n">
        <v>0.95</v>
      </c>
      <c r="D32" s="25" t="s">
        <v>102</v>
      </c>
    </row>
    <row r="33" customFormat="false" ht="41.75" hidden="false" customHeight="false" outlineLevel="0" collapsed="false">
      <c r="A33" s="11" t="s">
        <v>42</v>
      </c>
      <c r="B33" s="21" t="n">
        <v>0.5</v>
      </c>
      <c r="C33" s="21" t="n">
        <v>0.85</v>
      </c>
      <c r="D33" s="25" t="s">
        <v>103</v>
      </c>
    </row>
    <row r="34" customFormat="false" ht="41.75" hidden="false" customHeight="false" outlineLevel="0" collapsed="false">
      <c r="A34" s="11" t="s">
        <v>43</v>
      </c>
      <c r="B34" s="21" t="n">
        <v>0.96</v>
      </c>
      <c r="C34" s="21" t="n">
        <v>0.995</v>
      </c>
      <c r="D34" s="25" t="s">
        <v>104</v>
      </c>
    </row>
    <row r="36" customFormat="false" ht="15" hidden="false" customHeight="false" outlineLevel="0" collapsed="false">
      <c r="A36" s="9" t="s">
        <v>105</v>
      </c>
      <c r="B36" s="9"/>
      <c r="C36" s="9"/>
      <c r="D36" s="9"/>
    </row>
    <row r="37" customFormat="false" ht="15" hidden="false" customHeight="false" outlineLevel="0" collapsed="false">
      <c r="A37" s="10" t="s">
        <v>3</v>
      </c>
      <c r="B37" s="10" t="s">
        <v>106</v>
      </c>
    </row>
    <row r="38" customFormat="false" ht="15" hidden="false" customHeight="false" outlineLevel="0" collapsed="false">
      <c r="A38" s="4" t="n">
        <v>46023</v>
      </c>
      <c r="B38" s="13" t="s">
        <v>107</v>
      </c>
      <c r="C38" s="13"/>
      <c r="D38" s="13"/>
    </row>
    <row r="39" customFormat="false" ht="15" hidden="false" customHeight="false" outlineLevel="0" collapsed="false">
      <c r="A39" s="4" t="n">
        <v>46114</v>
      </c>
      <c r="B39" s="13" t="s">
        <v>108</v>
      </c>
      <c r="C39" s="13"/>
      <c r="D39" s="13"/>
    </row>
    <row r="40" customFormat="false" ht="15" hidden="false" customHeight="false" outlineLevel="0" collapsed="false">
      <c r="A40" s="4" t="n">
        <v>46115</v>
      </c>
      <c r="B40" s="13" t="s">
        <v>109</v>
      </c>
      <c r="C40" s="13"/>
      <c r="D40" s="13"/>
    </row>
    <row r="41" customFormat="false" ht="15" hidden="false" customHeight="false" outlineLevel="0" collapsed="false">
      <c r="A41" s="4" t="n">
        <v>46143</v>
      </c>
      <c r="B41" s="13" t="s">
        <v>110</v>
      </c>
      <c r="C41" s="13"/>
      <c r="D41" s="13"/>
    </row>
    <row r="42" customFormat="false" ht="15" hidden="false" customHeight="false" outlineLevel="0" collapsed="false">
      <c r="A42" s="4" t="n">
        <v>46180</v>
      </c>
      <c r="B42" s="13" t="s">
        <v>111</v>
      </c>
      <c r="C42" s="13"/>
      <c r="D42" s="13"/>
    </row>
    <row r="43" customFormat="false" ht="15" hidden="false" customHeight="false" outlineLevel="0" collapsed="false">
      <c r="A43" s="4" t="n">
        <v>46202</v>
      </c>
      <c r="B43" s="13" t="s">
        <v>112</v>
      </c>
      <c r="C43" s="13"/>
      <c r="D43" s="13"/>
    </row>
  </sheetData>
  <mergeCells count="26">
    <mergeCell ref="A1:D1"/>
    <mergeCell ref="A2:D2"/>
    <mergeCell ref="A4:D4"/>
    <mergeCell ref="B5:D5"/>
    <mergeCell ref="B6:D6"/>
    <mergeCell ref="B7:D7"/>
    <mergeCell ref="B8:D8"/>
    <mergeCell ref="B9:D9"/>
    <mergeCell ref="B10:D10"/>
    <mergeCell ref="B11:D11"/>
    <mergeCell ref="B12:D12"/>
    <mergeCell ref="A14:D14"/>
    <mergeCell ref="A20:D20"/>
    <mergeCell ref="B23:D23"/>
    <mergeCell ref="B24:D24"/>
    <mergeCell ref="B25:D25"/>
    <mergeCell ref="B26:D26"/>
    <mergeCell ref="B27:D27"/>
    <mergeCell ref="A29:D29"/>
    <mergeCell ref="A36:D36"/>
    <mergeCell ref="B38:D38"/>
    <mergeCell ref="B39:D39"/>
    <mergeCell ref="B40:D40"/>
    <mergeCell ref="B41:D41"/>
    <mergeCell ref="B42:D42"/>
    <mergeCell ref="B43:D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6"/>
    <col collapsed="false" customWidth="true" hidden="false" outlineLevel="0" max="4" min="4" style="0" width="18"/>
    <col collapsed="false" customWidth="true" hidden="false" outlineLevel="0" max="6" min="5" style="0" width="20"/>
    <col collapsed="false" customWidth="true" hidden="false" outlineLevel="0" max="7" min="7" style="0" width="24"/>
    <col collapsed="false" customWidth="true" hidden="false" outlineLevel="0" max="10" min="8" style="0" width="12"/>
    <col collapsed="false" customWidth="true" hidden="false" outlineLevel="0" max="11" min="11" style="0" width="16"/>
  </cols>
  <sheetData>
    <row r="1" customFormat="false" ht="25.5" hidden="false" customHeight="true" outlineLevel="0" collapsed="false">
      <c r="A1" s="1" t="s">
        <v>113</v>
      </c>
      <c r="B1" s="1"/>
      <c r="C1" s="1"/>
      <c r="D1" s="1"/>
      <c r="E1" s="1"/>
      <c r="F1" s="1"/>
      <c r="G1" s="1"/>
      <c r="H1" s="1"/>
      <c r="I1" s="1"/>
      <c r="J1" s="1"/>
      <c r="K1" s="1"/>
    </row>
    <row r="2" customFormat="false" ht="15" hidden="false" customHeight="false" outlineLevel="0" collapsed="false">
      <c r="A2" s="2" t="s">
        <v>114</v>
      </c>
      <c r="B2" s="2"/>
      <c r="C2" s="2"/>
      <c r="D2" s="2"/>
      <c r="E2" s="2"/>
      <c r="F2" s="2"/>
      <c r="G2" s="2"/>
      <c r="H2" s="2"/>
      <c r="I2" s="2"/>
      <c r="J2" s="2"/>
      <c r="K2" s="2"/>
    </row>
    <row r="4" customFormat="false" ht="30" hidden="false" customHeight="true" outlineLevel="0" collapsed="false">
      <c r="A4" s="17" t="s">
        <v>115</v>
      </c>
      <c r="B4" s="17" t="s">
        <v>4</v>
      </c>
      <c r="C4" s="17" t="s">
        <v>116</v>
      </c>
      <c r="D4" s="17" t="s">
        <v>117</v>
      </c>
      <c r="E4" s="17" t="s">
        <v>118</v>
      </c>
      <c r="F4" s="17" t="s">
        <v>119</v>
      </c>
      <c r="G4" s="17" t="s">
        <v>120</v>
      </c>
      <c r="H4" s="17" t="s">
        <v>121</v>
      </c>
      <c r="I4" s="17" t="s">
        <v>122</v>
      </c>
      <c r="J4" s="17" t="s">
        <v>123</v>
      </c>
      <c r="K4" s="17" t="s">
        <v>124</v>
      </c>
    </row>
    <row r="5" customFormat="false" ht="15" hidden="false" customHeight="false" outlineLevel="0" collapsed="false">
      <c r="A5" s="6" t="s">
        <v>125</v>
      </c>
      <c r="B5" s="5" t="n">
        <v>1</v>
      </c>
      <c r="C5" s="5" t="n">
        <f aca="false">COUNTIFS(OEE_Diario!$C$6:$C$455,3,OEE_Diario!$B$6:$B$455,$B5)</f>
        <v>26</v>
      </c>
      <c r="D5" s="12" t="n">
        <f aca="false">SUMIFS(OEE_Diario!$N$6:$N$455,OEE_Diario!$C$6:$C$455,3,OEE_Diario!$B$6:$B$455,$B5)</f>
        <v>7654</v>
      </c>
      <c r="E5" s="12" t="n">
        <f aca="false">D5*20</f>
        <v>153080</v>
      </c>
      <c r="F5" s="15" t="n">
        <f aca="false">IFERROR(D5/C5,0)</f>
        <v>294.384615384615</v>
      </c>
      <c r="G5" s="7" t="n">
        <f aca="false">SUMIFS(OEE_Diario!$H$6:$H$455,OEE_Diario!$C$6:$C$455,"&gt;0",OEE_Diario!$B$6:$B$455,$B5)</f>
        <v>43.25</v>
      </c>
      <c r="H5" s="8" t="n">
        <f aca="false">IFERROR(SUMIFS(OEE_Diario!$I$6:$I$455,OEE_Diario!$C$6:$C$455,1,OEE_Diario!$B$6:$B$455,$B5)/SUMIFS(OEE_Diario!$G$6:$G$455,OEE_Diario!$C$6:$C$455,1,OEE_Diario!$B$6:$B$455,$B5)*SUMIFS(OEE_Diario!$M$6:$M$455,OEE_Diario!$C$6:$C$455,1,OEE_Diario!$B$6:$B$455,$B5)/SUMIFS(OEE_Diario!$L$6:$L$455,OEE_Diario!$C$6:$C$455,1,OEE_Diario!$B$6:$B$455,$B5)*SUMIFS(OEE_Diario!$N$6:$N$455,OEE_Diario!$C$6:$C$455,1,OEE_Diario!$B$6:$B$455,$B5)/SUMIFS(OEE_Diario!$M$6:$M$455,OEE_Diario!$C$6:$C$455,1,OEE_Diario!$B$6:$B$455,$B5),0)</f>
        <v>0.598707224334601</v>
      </c>
      <c r="I5" s="8" t="n">
        <f aca="false">IFERROR(SUMIFS(OEE_Diario!$I$6:$I$455,OEE_Diario!$C$6:$C$455,2,OEE_Diario!$B$6:$B$455,$B5)/SUMIFS(OEE_Diario!$G$6:$G$455,OEE_Diario!$C$6:$C$455,2,OEE_Diario!$B$6:$B$455,$B5)*SUMIFS(OEE_Diario!$M$6:$M$455,OEE_Diario!$C$6:$C$455,2,OEE_Diario!$B$6:$B$455,$B5)/SUMIFS(OEE_Diario!$L$6:$L$455,OEE_Diario!$C$6:$C$455,2,OEE_Diario!$B$6:$B$455,$B5)*SUMIFS(OEE_Diario!$N$6:$N$455,OEE_Diario!$C$6:$C$455,2,OEE_Diario!$B$6:$B$455,$B5)/SUMIFS(OEE_Diario!$M$6:$M$455,OEE_Diario!$C$6:$C$455,2,OEE_Diario!$B$6:$B$455,$B5),0)</f>
        <v>0.652251872165383</v>
      </c>
      <c r="J5" s="8" t="n">
        <f aca="false">IFERROR(SUMIFS(OEE_Diario!$I$6:$I$455,OEE_Diario!$C$6:$C$455,3,OEE_Diario!$B$6:$B$455,$B5)/SUMIFS(OEE_Diario!$G$6:$G$455,OEE_Diario!$C$6:$C$455,3,OEE_Diario!$B$6:$B$455,$B5)*SUMIFS(OEE_Diario!$M$6:$M$455,OEE_Diario!$C$6:$C$455,3,OEE_Diario!$B$6:$B$455,$B5)/SUMIFS(OEE_Diario!$L$6:$L$455,OEE_Diario!$C$6:$C$455,3,OEE_Diario!$B$6:$B$455,$B5)*SUMIFS(OEE_Diario!$N$6:$N$455,OEE_Diario!$C$6:$C$455,3,OEE_Diario!$B$6:$B$455,$B5)/SUMIFS(OEE_Diario!$M$6:$M$455,OEE_Diario!$C$6:$C$455,3,OEE_Diario!$B$6:$B$455,$B5),0)</f>
        <v>0.58701946122136</v>
      </c>
      <c r="K5" s="8" t="n">
        <f aca="false">AVERAGE(H5:J5)</f>
        <v>0.612659519240448</v>
      </c>
    </row>
    <row r="6" customFormat="false" ht="15" hidden="false" customHeight="false" outlineLevel="0" collapsed="false">
      <c r="A6" s="6" t="s">
        <v>126</v>
      </c>
      <c r="B6" s="5" t="n">
        <v>2</v>
      </c>
      <c r="C6" s="5" t="n">
        <f aca="false">COUNTIFS(OEE_Diario!$C$6:$C$455,3,OEE_Diario!$B$6:$B$455,$B6)</f>
        <v>24</v>
      </c>
      <c r="D6" s="12" t="n">
        <f aca="false">SUMIFS(OEE_Diario!$N$6:$N$455,OEE_Diario!$C$6:$C$455,3,OEE_Diario!$B$6:$B$455,$B6)</f>
        <v>6868</v>
      </c>
      <c r="E6" s="12" t="n">
        <f aca="false">D6*20</f>
        <v>137360</v>
      </c>
      <c r="F6" s="15" t="n">
        <f aca="false">IFERROR(D6/C6,0)</f>
        <v>286.166666666667</v>
      </c>
      <c r="G6" s="7" t="n">
        <f aca="false">SUMIFS(OEE_Diario!$H$6:$H$455,OEE_Diario!$C$6:$C$455,"&gt;0",OEE_Diario!$B$6:$B$455,$B6)</f>
        <v>59.5</v>
      </c>
      <c r="H6" s="8" t="n">
        <f aca="false">IFERROR(SUMIFS(OEE_Diario!$I$6:$I$455,OEE_Diario!$C$6:$C$455,1,OEE_Diario!$B$6:$B$455,$B6)/SUMIFS(OEE_Diario!$G$6:$G$455,OEE_Diario!$C$6:$C$455,1,OEE_Diario!$B$6:$B$455,$B6)*SUMIFS(OEE_Diario!$M$6:$M$455,OEE_Diario!$C$6:$C$455,1,OEE_Diario!$B$6:$B$455,$B6)/SUMIFS(OEE_Diario!$L$6:$L$455,OEE_Diario!$C$6:$C$455,1,OEE_Diario!$B$6:$B$455,$B6)*SUMIFS(OEE_Diario!$N$6:$N$455,OEE_Diario!$C$6:$C$455,1,OEE_Diario!$B$6:$B$455,$B6)/SUMIFS(OEE_Diario!$M$6:$M$455,OEE_Diario!$C$6:$C$455,1,OEE_Diario!$B$6:$B$455,$B6),0)</f>
        <v>0.579016393442623</v>
      </c>
      <c r="I6" s="8" t="n">
        <f aca="false">IFERROR(SUMIFS(OEE_Diario!$I$6:$I$455,OEE_Diario!$C$6:$C$455,2,OEE_Diario!$B$6:$B$455,$B6)/SUMIFS(OEE_Diario!$G$6:$G$455,OEE_Diario!$C$6:$C$455,2,OEE_Diario!$B$6:$B$455,$B6)*SUMIFS(OEE_Diario!$M$6:$M$455,OEE_Diario!$C$6:$C$455,2,OEE_Diario!$B$6:$B$455,$B6)/SUMIFS(OEE_Diario!$L$6:$L$455,OEE_Diario!$C$6:$C$455,2,OEE_Diario!$B$6:$B$455,$B6)*SUMIFS(OEE_Diario!$N$6:$N$455,OEE_Diario!$C$6:$C$455,2,OEE_Diario!$B$6:$B$455,$B6)/SUMIFS(OEE_Diario!$M$6:$M$455,OEE_Diario!$C$6:$C$455,2,OEE_Diario!$B$6:$B$455,$B6),0)</f>
        <v>0.627775891341256</v>
      </c>
      <c r="J6" s="8" t="n">
        <f aca="false">IFERROR(SUMIFS(OEE_Diario!$I$6:$I$455,OEE_Diario!$C$6:$C$455,3,OEE_Diario!$B$6:$B$455,$B6)/SUMIFS(OEE_Diario!$G$6:$G$455,OEE_Diario!$C$6:$C$455,3,OEE_Diario!$B$6:$B$455,$B6)*SUMIFS(OEE_Diario!$M$6:$M$455,OEE_Diario!$C$6:$C$455,3,OEE_Diario!$B$6:$B$455,$B6)/SUMIFS(OEE_Diario!$L$6:$L$455,OEE_Diario!$C$6:$C$455,3,OEE_Diario!$B$6:$B$455,$B6)*SUMIFS(OEE_Diario!$N$6:$N$455,OEE_Diario!$C$6:$C$455,3,OEE_Diario!$B$6:$B$455,$B6)/SUMIFS(OEE_Diario!$M$6:$M$455,OEE_Diario!$C$6:$C$455,3,OEE_Diario!$B$6:$B$455,$B6),0)</f>
        <v>0.561512519161983</v>
      </c>
      <c r="K6" s="8" t="n">
        <f aca="false">AVERAGE(H6:J6)</f>
        <v>0.589434934648621</v>
      </c>
    </row>
    <row r="7" customFormat="false" ht="15" hidden="false" customHeight="false" outlineLevel="0" collapsed="false">
      <c r="A7" s="6" t="s">
        <v>127</v>
      </c>
      <c r="B7" s="5" t="n">
        <v>3</v>
      </c>
      <c r="C7" s="5" t="n">
        <f aca="false">COUNTIFS(OEE_Diario!$C$6:$C$455,3,OEE_Diario!$B$6:$B$455,$B7)</f>
        <v>26</v>
      </c>
      <c r="D7" s="12" t="n">
        <f aca="false">SUMIFS(OEE_Diario!$N$6:$N$455,OEE_Diario!$C$6:$C$455,3,OEE_Diario!$B$6:$B$455,$B7)</f>
        <v>7352</v>
      </c>
      <c r="E7" s="12" t="n">
        <f aca="false">D7*20</f>
        <v>147040</v>
      </c>
      <c r="F7" s="15" t="n">
        <f aca="false">IFERROR(D7/C7,0)</f>
        <v>282.769230769231</v>
      </c>
      <c r="G7" s="7" t="n">
        <f aca="false">SUMIFS(OEE_Diario!$H$6:$H$455,OEE_Diario!$C$6:$C$455,"&gt;0",OEE_Diario!$B$6:$B$455,$B7)</f>
        <v>53.75</v>
      </c>
      <c r="H7" s="8" t="n">
        <f aca="false">IFERROR(SUMIFS(OEE_Diario!$I$6:$I$455,OEE_Diario!$C$6:$C$455,1,OEE_Diario!$B$6:$B$455,$B7)/SUMIFS(OEE_Diario!$G$6:$G$455,OEE_Diario!$C$6:$C$455,1,OEE_Diario!$B$6:$B$455,$B7)*SUMIFS(OEE_Diario!$M$6:$M$455,OEE_Diario!$C$6:$C$455,1,OEE_Diario!$B$6:$B$455,$B7)/SUMIFS(OEE_Diario!$L$6:$L$455,OEE_Diario!$C$6:$C$455,1,OEE_Diario!$B$6:$B$455,$B7)*SUMIFS(OEE_Diario!$N$6:$N$455,OEE_Diario!$C$6:$C$455,1,OEE_Diario!$B$6:$B$455,$B7)/SUMIFS(OEE_Diario!$M$6:$M$455,OEE_Diario!$C$6:$C$455,1,OEE_Diario!$B$6:$B$455,$B7),0)</f>
        <v>0.565233644859813</v>
      </c>
      <c r="I7" s="8" t="n">
        <f aca="false">IFERROR(SUMIFS(OEE_Diario!$I$6:$I$455,OEE_Diario!$C$6:$C$455,2,OEE_Diario!$B$6:$B$455,$B7)/SUMIFS(OEE_Diario!$G$6:$G$455,OEE_Diario!$C$6:$C$455,2,OEE_Diario!$B$6:$B$455,$B7)*SUMIFS(OEE_Diario!$M$6:$M$455,OEE_Diario!$C$6:$C$455,2,OEE_Diario!$B$6:$B$455,$B7)/SUMIFS(OEE_Diario!$L$6:$L$455,OEE_Diario!$C$6:$C$455,2,OEE_Diario!$B$6:$B$455,$B7)*SUMIFS(OEE_Diario!$N$6:$N$455,OEE_Diario!$C$6:$C$455,2,OEE_Diario!$B$6:$B$455,$B7)/SUMIFS(OEE_Diario!$M$6:$M$455,OEE_Diario!$C$6:$C$455,2,OEE_Diario!$B$6:$B$455,$B7),0)</f>
        <v>0.616381189660542</v>
      </c>
      <c r="J7" s="8" t="n">
        <f aca="false">IFERROR(SUMIFS(OEE_Diario!$I$6:$I$455,OEE_Diario!$C$6:$C$455,3,OEE_Diario!$B$6:$B$455,$B7)/SUMIFS(OEE_Diario!$G$6:$G$455,OEE_Diario!$C$6:$C$455,3,OEE_Diario!$B$6:$B$455,$B7)*SUMIFS(OEE_Diario!$M$6:$M$455,OEE_Diario!$C$6:$C$455,3,OEE_Diario!$B$6:$B$455,$B7)/SUMIFS(OEE_Diario!$L$6:$L$455,OEE_Diario!$C$6:$C$455,3,OEE_Diario!$B$6:$B$455,$B7)*SUMIFS(OEE_Diario!$N$6:$N$455,OEE_Diario!$C$6:$C$455,3,OEE_Diario!$B$6:$B$455,$B7)/SUMIFS(OEE_Diario!$M$6:$M$455,OEE_Diario!$C$6:$C$455,3,OEE_Diario!$B$6:$B$455,$B7),0)</f>
        <v>0.551796603808988</v>
      </c>
      <c r="K7" s="8" t="n">
        <f aca="false">AVERAGE(H7:J7)</f>
        <v>0.577803812776448</v>
      </c>
    </row>
    <row r="8" customFormat="false" ht="15" hidden="false" customHeight="false" outlineLevel="0" collapsed="false">
      <c r="A8" s="6" t="s">
        <v>128</v>
      </c>
      <c r="B8" s="5" t="n">
        <v>4</v>
      </c>
      <c r="C8" s="5" t="n">
        <f aca="false">COUNTIFS(OEE_Diario!$C$6:$C$455,3,OEE_Diario!$B$6:$B$455,$B8)</f>
        <v>24</v>
      </c>
      <c r="D8" s="12" t="n">
        <f aca="false">SUMIFS(OEE_Diario!$N$6:$N$455,OEE_Diario!$C$6:$C$455,3,OEE_Diario!$B$6:$B$455,$B8)</f>
        <v>6994</v>
      </c>
      <c r="E8" s="12" t="n">
        <f aca="false">D8*20</f>
        <v>139880</v>
      </c>
      <c r="F8" s="15" t="n">
        <f aca="false">IFERROR(D8/C8,0)</f>
        <v>291.416666666667</v>
      </c>
      <c r="G8" s="7" t="n">
        <f aca="false">SUMIFS(OEE_Diario!$H$6:$H$455,OEE_Diario!$C$6:$C$455,"&gt;0",OEE_Diario!$B$6:$B$455,$B8)</f>
        <v>20.5</v>
      </c>
      <c r="H8" s="8" t="n">
        <f aca="false">IFERROR(SUMIFS(OEE_Diario!$I$6:$I$455,OEE_Diario!$C$6:$C$455,1,OEE_Diario!$B$6:$B$455,$B8)/SUMIFS(OEE_Diario!$G$6:$G$455,OEE_Diario!$C$6:$C$455,1,OEE_Diario!$B$6:$B$455,$B8)*SUMIFS(OEE_Diario!$M$6:$M$455,OEE_Diario!$C$6:$C$455,1,OEE_Diario!$B$6:$B$455,$B8)/SUMIFS(OEE_Diario!$L$6:$L$455,OEE_Diario!$C$6:$C$455,1,OEE_Diario!$B$6:$B$455,$B8)*SUMIFS(OEE_Diario!$N$6:$N$455,OEE_Diario!$C$6:$C$455,1,OEE_Diario!$B$6:$B$455,$B8)/SUMIFS(OEE_Diario!$M$6:$M$455,OEE_Diario!$C$6:$C$455,1,OEE_Diario!$B$6:$B$455,$B8),0)</f>
        <v>0.588524590163934</v>
      </c>
      <c r="I8" s="8" t="n">
        <f aca="false">IFERROR(SUMIFS(OEE_Diario!$I$6:$I$455,OEE_Diario!$C$6:$C$455,2,OEE_Diario!$B$6:$B$455,$B8)/SUMIFS(OEE_Diario!$G$6:$G$455,OEE_Diario!$C$6:$C$455,2,OEE_Diario!$B$6:$B$455,$B8)*SUMIFS(OEE_Diario!$M$6:$M$455,OEE_Diario!$C$6:$C$455,2,OEE_Diario!$B$6:$B$455,$B8)/SUMIFS(OEE_Diario!$L$6:$L$455,OEE_Diario!$C$6:$C$455,2,OEE_Diario!$B$6:$B$455,$B8)*SUMIFS(OEE_Diario!$N$6:$N$455,OEE_Diario!$C$6:$C$455,2,OEE_Diario!$B$6:$B$455,$B8)/SUMIFS(OEE_Diario!$M$6:$M$455,OEE_Diario!$C$6:$C$455,2,OEE_Diario!$B$6:$B$455,$B8),0)</f>
        <v>0.636458098034787</v>
      </c>
      <c r="J8" s="8" t="n">
        <f aca="false">IFERROR(SUMIFS(OEE_Diario!$I$6:$I$455,OEE_Diario!$C$6:$C$455,3,OEE_Diario!$B$6:$B$455,$B8)/SUMIFS(OEE_Diario!$G$6:$G$455,OEE_Diario!$C$6:$C$455,3,OEE_Diario!$B$6:$B$455,$B8)*SUMIFS(OEE_Diario!$M$6:$M$455,OEE_Diario!$C$6:$C$455,3,OEE_Diario!$B$6:$B$455,$B8)/SUMIFS(OEE_Diario!$L$6:$L$455,OEE_Diario!$C$6:$C$455,3,OEE_Diario!$B$6:$B$455,$B8)*SUMIFS(OEE_Diario!$N$6:$N$455,OEE_Diario!$C$6:$C$455,3,OEE_Diario!$B$6:$B$455,$B8)/SUMIFS(OEE_Diario!$M$6:$M$455,OEE_Diario!$C$6:$C$455,3,OEE_Diario!$B$6:$B$455,$B8),0)</f>
        <v>0.575164473684211</v>
      </c>
      <c r="K8" s="8" t="n">
        <f aca="false">AVERAGE(H8:J8)</f>
        <v>0.600049053960977</v>
      </c>
    </row>
    <row r="9" customFormat="false" ht="15" hidden="false" customHeight="false" outlineLevel="0" collapsed="false">
      <c r="A9" s="6" t="s">
        <v>129</v>
      </c>
      <c r="B9" s="5" t="n">
        <v>5</v>
      </c>
      <c r="C9" s="5" t="n">
        <f aca="false">COUNTIFS(OEE_Diario!$C$6:$C$455,3,OEE_Diario!$B$6:$B$455,$B9)</f>
        <v>25</v>
      </c>
      <c r="D9" s="12" t="n">
        <f aca="false">SUMIFS(OEE_Diario!$N$6:$N$455,OEE_Diario!$C$6:$C$455,3,OEE_Diario!$B$6:$B$455,$B9)</f>
        <v>6196</v>
      </c>
      <c r="E9" s="12" t="n">
        <f aca="false">D9*20</f>
        <v>123920</v>
      </c>
      <c r="F9" s="15" t="n">
        <f aca="false">IFERROR(D9/C9,0)</f>
        <v>247.84</v>
      </c>
      <c r="G9" s="7" t="n">
        <f aca="false">SUMIFS(OEE_Diario!$H$6:$H$455,OEE_Diario!$C$6:$C$455,"&gt;0",OEE_Diario!$B$6:$B$455,$B9)</f>
        <v>44</v>
      </c>
      <c r="H9" s="8" t="n">
        <f aca="false">IFERROR(SUMIFS(OEE_Diario!$I$6:$I$455,OEE_Diario!$C$6:$C$455,1,OEE_Diario!$B$6:$B$455,$B9)/SUMIFS(OEE_Diario!$G$6:$G$455,OEE_Diario!$C$6:$C$455,1,OEE_Diario!$B$6:$B$455,$B9)*SUMIFS(OEE_Diario!$M$6:$M$455,OEE_Diario!$C$6:$C$455,1,OEE_Diario!$B$6:$B$455,$B9)/SUMIFS(OEE_Diario!$L$6:$L$455,OEE_Diario!$C$6:$C$455,1,OEE_Diario!$B$6:$B$455,$B9)*SUMIFS(OEE_Diario!$N$6:$N$455,OEE_Diario!$C$6:$C$455,1,OEE_Diario!$B$6:$B$455,$B9)/SUMIFS(OEE_Diario!$M$6:$M$455,OEE_Diario!$C$6:$C$455,1,OEE_Diario!$B$6:$B$455,$B9),0)</f>
        <v>0.507729083665339</v>
      </c>
      <c r="I9" s="8" t="n">
        <f aca="false">IFERROR(SUMIFS(OEE_Diario!$I$6:$I$455,OEE_Diario!$C$6:$C$455,2,OEE_Diario!$B$6:$B$455,$B9)/SUMIFS(OEE_Diario!$G$6:$G$455,OEE_Diario!$C$6:$C$455,2,OEE_Diario!$B$6:$B$455,$B9)*SUMIFS(OEE_Diario!$M$6:$M$455,OEE_Diario!$C$6:$C$455,2,OEE_Diario!$B$6:$B$455,$B9)/SUMIFS(OEE_Diario!$L$6:$L$455,OEE_Diario!$C$6:$C$455,2,OEE_Diario!$B$6:$B$455,$B9)*SUMIFS(OEE_Diario!$N$6:$N$455,OEE_Diario!$C$6:$C$455,2,OEE_Diario!$B$6:$B$455,$B9)/SUMIFS(OEE_Diario!$M$6:$M$455,OEE_Diario!$C$6:$C$455,2,OEE_Diario!$B$6:$B$455,$B9),0)</f>
        <v>0.549653884188551</v>
      </c>
      <c r="J9" s="8" t="n">
        <f aca="false">IFERROR(SUMIFS(OEE_Diario!$I$6:$I$455,OEE_Diario!$C$6:$C$455,3,OEE_Diario!$B$6:$B$455,$B9)/SUMIFS(OEE_Diario!$G$6:$G$455,OEE_Diario!$C$6:$C$455,3,OEE_Diario!$B$6:$B$455,$B9)*SUMIFS(OEE_Diario!$M$6:$M$455,OEE_Diario!$C$6:$C$455,3,OEE_Diario!$B$6:$B$455,$B9)/SUMIFS(OEE_Diario!$L$6:$L$455,OEE_Diario!$C$6:$C$455,3,OEE_Diario!$B$6:$B$455,$B9)*SUMIFS(OEE_Diario!$N$6:$N$455,OEE_Diario!$C$6:$C$455,3,OEE_Diario!$B$6:$B$455,$B9)/SUMIFS(OEE_Diario!$M$6:$M$455,OEE_Diario!$C$6:$C$455,3,OEE_Diario!$B$6:$B$455,$B9),0)</f>
        <v>0.494098883572568</v>
      </c>
      <c r="K9" s="8" t="n">
        <f aca="false">AVERAGE(H9:J9)</f>
        <v>0.517160617142152</v>
      </c>
    </row>
    <row r="10" customFormat="false" ht="15" hidden="false" customHeight="false" outlineLevel="0" collapsed="false">
      <c r="A10" s="6" t="s">
        <v>130</v>
      </c>
      <c r="B10" s="5" t="n">
        <v>6</v>
      </c>
      <c r="C10" s="5" t="n">
        <f aca="false">COUNTIFS(OEE_Diario!$C$6:$C$455,3,OEE_Diario!$B$6:$B$455,$B10)</f>
        <v>25</v>
      </c>
      <c r="D10" s="12" t="n">
        <f aca="false">SUMIFS(OEE_Diario!$N$6:$N$455,OEE_Diario!$C$6:$C$455,3,OEE_Diario!$B$6:$B$455,$B10)</f>
        <v>6169</v>
      </c>
      <c r="E10" s="12" t="n">
        <f aca="false">D10*20</f>
        <v>123380</v>
      </c>
      <c r="F10" s="15" t="n">
        <f aca="false">IFERROR(D10/C10,0)</f>
        <v>246.76</v>
      </c>
      <c r="G10" s="7" t="n">
        <f aca="false">SUMIFS(OEE_Diario!$H$6:$H$455,OEE_Diario!$C$6:$C$455,"&gt;0",OEE_Diario!$B$6:$B$455,$B10)</f>
        <v>39.5</v>
      </c>
      <c r="H10" s="8" t="n">
        <f aca="false">IFERROR(SUMIFS(OEE_Diario!$I$6:$I$455,OEE_Diario!$C$6:$C$455,1,OEE_Diario!$B$6:$B$455,$B10)/SUMIFS(OEE_Diario!$G$6:$G$455,OEE_Diario!$C$6:$C$455,1,OEE_Diario!$B$6:$B$455,$B10)*SUMIFS(OEE_Diario!$M$6:$M$455,OEE_Diario!$C$6:$C$455,1,OEE_Diario!$B$6:$B$455,$B10)/SUMIFS(OEE_Diario!$L$6:$L$455,OEE_Diario!$C$6:$C$455,1,OEE_Diario!$B$6:$B$455,$B10)*SUMIFS(OEE_Diario!$N$6:$N$455,OEE_Diario!$C$6:$C$455,1,OEE_Diario!$B$6:$B$455,$B10)/SUMIFS(OEE_Diario!$M$6:$M$455,OEE_Diario!$C$6:$C$455,1,OEE_Diario!$B$6:$B$455,$B10),0)</f>
        <v>0.496986301369863</v>
      </c>
      <c r="I10" s="8" t="n">
        <f aca="false">IFERROR(SUMIFS(OEE_Diario!$I$6:$I$455,OEE_Diario!$C$6:$C$455,2,OEE_Diario!$B$6:$B$455,$B10)/SUMIFS(OEE_Diario!$G$6:$G$455,OEE_Diario!$C$6:$C$455,2,OEE_Diario!$B$6:$B$455,$B10)*SUMIFS(OEE_Diario!$M$6:$M$455,OEE_Diario!$C$6:$C$455,2,OEE_Diario!$B$6:$B$455,$B10)/SUMIFS(OEE_Diario!$L$6:$L$455,OEE_Diario!$C$6:$C$455,2,OEE_Diario!$B$6:$B$455,$B10)*SUMIFS(OEE_Diario!$N$6:$N$455,OEE_Diario!$C$6:$C$455,2,OEE_Diario!$B$6:$B$455,$B10)/SUMIFS(OEE_Diario!$M$6:$M$455,OEE_Diario!$C$6:$C$455,2,OEE_Diario!$B$6:$B$455,$B10),0)</f>
        <v>0.536605316973415</v>
      </c>
      <c r="J10" s="8" t="n">
        <f aca="false">IFERROR(SUMIFS(OEE_Diario!$I$6:$I$455,OEE_Diario!$C$6:$C$455,3,OEE_Diario!$B$6:$B$455,$B10)/SUMIFS(OEE_Diario!$G$6:$G$455,OEE_Diario!$C$6:$C$455,3,OEE_Diario!$B$6:$B$455,$B10)*SUMIFS(OEE_Diario!$M$6:$M$455,OEE_Diario!$C$6:$C$455,3,OEE_Diario!$B$6:$B$455,$B10)/SUMIFS(OEE_Diario!$L$6:$L$455,OEE_Diario!$C$6:$C$455,3,OEE_Diario!$B$6:$B$455,$B10)*SUMIFS(OEE_Diario!$N$6:$N$455,OEE_Diario!$C$6:$C$455,3,OEE_Diario!$B$6:$B$455,$B10)/SUMIFS(OEE_Diario!$M$6:$M$455,OEE_Diario!$C$6:$C$455,3,OEE_Diario!$B$6:$B$455,$B10),0)</f>
        <v>0.485509099852435</v>
      </c>
      <c r="K10" s="8" t="n">
        <f aca="false">AVERAGE(H10:J10)</f>
        <v>0.506366906065238</v>
      </c>
    </row>
    <row r="11" customFormat="false" ht="15" hidden="false" customHeight="false" outlineLevel="0" collapsed="false">
      <c r="A11" s="11" t="s">
        <v>131</v>
      </c>
      <c r="C11" s="26" t="n">
        <f aca="false">SUM(C5:C10)</f>
        <v>150</v>
      </c>
      <c r="D11" s="27" t="n">
        <f aca="false">SUM(D5:D10)</f>
        <v>41233</v>
      </c>
      <c r="E11" s="27" t="n">
        <f aca="false">SUM(E5:E10)</f>
        <v>824660</v>
      </c>
      <c r="F11" s="28" t="n">
        <f aca="false">IFERROR(D11/C11,0)</f>
        <v>274.886666666667</v>
      </c>
      <c r="G11" s="29" t="n">
        <f aca="false">SUM(G5:G10)</f>
        <v>260.5</v>
      </c>
      <c r="H11" s="30" t="n">
        <f aca="false">IFERROR(SUMIFS(OEE_Diario!$I$6:$I$455,OEE_Diario!$C$6:$C$455,1)/SUMIFS(OEE_Diario!$G$6:$G$455,OEE_Diario!$C$6:$C$455,1)*SUMIFS(OEE_Diario!$M$6:$M$455,OEE_Diario!$C$6:$C$455,1)/SUMIFS(OEE_Diario!$L$6:$L$455,OEE_Diario!$C$6:$C$455,1)*SUMIFS(OEE_Diario!$N$6:$N$455,OEE_Diario!$C$6:$C$455,1)/SUMIFS(OEE_Diario!$M$6:$M$455,OEE_Diario!$C$6:$C$455,1),0)</f>
        <v>0.556039344262295</v>
      </c>
      <c r="I11" s="30" t="n">
        <f aca="false">IFERROR(SUMIFS(OEE_Diario!$I$6:$I$455,OEE_Diario!$C$6:$C$455,2)/SUMIFS(OEE_Diario!$G$6:$G$455,OEE_Diario!$C$6:$C$455,2)*SUMIFS(OEE_Diario!$M$6:$M$455,OEE_Diario!$C$6:$C$455,2)/SUMIFS(OEE_Diario!$L$6:$L$455,OEE_Diario!$C$6:$C$455,2)*SUMIFS(OEE_Diario!$N$6:$N$455,OEE_Diario!$C$6:$C$455,2)/SUMIFS(OEE_Diario!$M$6:$M$455,OEE_Diario!$C$6:$C$455,2),0)</f>
        <v>0.603156082978531</v>
      </c>
      <c r="J11" s="30" t="n">
        <f aca="false">IFERROR(SUMIFS(OEE_Diario!$I$6:$I$455,OEE_Diario!$C$6:$C$455,3)/SUMIFS(OEE_Diario!$G$6:$G$455,OEE_Diario!$C$6:$C$455,3)*SUMIFS(OEE_Diario!$M$6:$M$455,OEE_Diario!$C$6:$C$455,3)/SUMIFS(OEE_Diario!$L$6:$L$455,OEE_Diario!$C$6:$C$455,3)*SUMIFS(OEE_Diario!$N$6:$N$455,OEE_Diario!$C$6:$C$455,3)/SUMIFS(OEE_Diario!$M$6:$M$455,OEE_Diario!$C$6:$C$455,3),0)</f>
        <v>0.542539473684211</v>
      </c>
      <c r="K11" s="30" t="n">
        <f aca="false">AVERAGE(H11:J11)</f>
        <v>0.567244966975012</v>
      </c>
    </row>
    <row r="12" customFormat="false" ht="15" hidden="false" customHeight="false" outlineLevel="0" collapsed="false">
      <c r="A12" s="2" t="s">
        <v>132</v>
      </c>
      <c r="B12" s="2"/>
      <c r="C12" s="2"/>
      <c r="D12" s="2"/>
      <c r="E12" s="2"/>
      <c r="F12" s="2"/>
      <c r="G12" s="2"/>
      <c r="H12" s="2"/>
      <c r="I12" s="2"/>
      <c r="J12" s="2"/>
      <c r="K12" s="2"/>
    </row>
  </sheetData>
  <mergeCells count="3">
    <mergeCell ref="A1:K1"/>
    <mergeCell ref="A2:K2"/>
    <mergeCell ref="A12:K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8"/>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3"/>
  </cols>
  <sheetData>
    <row r="1" customFormat="false" ht="25.5" hidden="false" customHeight="true" outlineLevel="0" collapsed="false">
      <c r="A1" s="1" t="s">
        <v>133</v>
      </c>
      <c r="B1" s="1"/>
      <c r="C1" s="1"/>
      <c r="D1" s="1"/>
      <c r="E1" s="1"/>
    </row>
    <row r="2" customFormat="false" ht="15" hidden="false" customHeight="false" outlineLevel="0" collapsed="false">
      <c r="A2" s="2" t="s">
        <v>134</v>
      </c>
      <c r="B2" s="2"/>
      <c r="C2" s="2"/>
      <c r="D2" s="2"/>
      <c r="E2" s="2"/>
    </row>
    <row r="4" customFormat="false" ht="15" hidden="false" customHeight="false" outlineLevel="0" collapsed="false">
      <c r="A4" s="10" t="s">
        <v>78</v>
      </c>
      <c r="B4" s="10" t="s">
        <v>135</v>
      </c>
      <c r="C4" s="10" t="s">
        <v>136</v>
      </c>
      <c r="D4" s="10" t="s">
        <v>137</v>
      </c>
      <c r="E4" s="10" t="s">
        <v>138</v>
      </c>
    </row>
    <row r="5" customFormat="false" ht="15" hidden="false" customHeight="false" outlineLevel="0" collapsed="false">
      <c r="A5" s="6" t="s">
        <v>28</v>
      </c>
      <c r="B5" s="7" t="n">
        <f aca="false">SUMIFS(OEE_Diario!$H$6:$H$455,OEE_Diario!$J$6:$J$455,$A5)</f>
        <v>59.5</v>
      </c>
      <c r="C5" s="5" t="n">
        <f aca="false">COUNTIFS(OEE_Diario!$J$6:$J$455,$A5,OEE_Diario!$H$6:$H$455,"&gt;0")</f>
        <v>59</v>
      </c>
      <c r="D5" s="31" t="n">
        <f aca="false">IFERROR(B5/$B$15,0)</f>
        <v>0.228406909788868</v>
      </c>
      <c r="E5" s="31" t="n">
        <f aca="false">SUM($D$5:D5)</f>
        <v>0.228406909788868</v>
      </c>
    </row>
    <row r="6" customFormat="false" ht="15" hidden="false" customHeight="false" outlineLevel="0" collapsed="false">
      <c r="A6" s="6" t="s">
        <v>30</v>
      </c>
      <c r="B6" s="7" t="n">
        <f aca="false">SUMIFS(OEE_Diario!$H$6:$H$455,OEE_Diario!$J$6:$J$455,$A6)</f>
        <v>38</v>
      </c>
      <c r="C6" s="5" t="n">
        <f aca="false">COUNTIFS(OEE_Diario!$J$6:$J$455,$A6,OEE_Diario!$H$6:$H$455,"&gt;0")</f>
        <v>52</v>
      </c>
      <c r="D6" s="31" t="n">
        <f aca="false">IFERROR(B6/$B$15,0)</f>
        <v>0.145873320537428</v>
      </c>
      <c r="E6" s="31" t="n">
        <f aca="false">SUM($D$5:D6)</f>
        <v>0.374280230326296</v>
      </c>
    </row>
    <row r="7" customFormat="false" ht="15" hidden="false" customHeight="false" outlineLevel="0" collapsed="false">
      <c r="A7" s="6" t="s">
        <v>29</v>
      </c>
      <c r="B7" s="7" t="n">
        <f aca="false">SUMIFS(OEE_Diario!$H$6:$H$455,OEE_Diario!$J$6:$J$455,$A7)</f>
        <v>35.75</v>
      </c>
      <c r="C7" s="5" t="n">
        <f aca="false">COUNTIFS(OEE_Diario!$J$6:$J$455,$A7,OEE_Diario!$H$6:$H$455,"&gt;0")</f>
        <v>20</v>
      </c>
      <c r="D7" s="31" t="n">
        <f aca="false">IFERROR(B7/$B$15,0)</f>
        <v>0.137236084452975</v>
      </c>
      <c r="E7" s="31" t="n">
        <f aca="false">SUM($D$5:D7)</f>
        <v>0.511516314779271</v>
      </c>
    </row>
    <row r="8" customFormat="false" ht="15" hidden="false" customHeight="false" outlineLevel="0" collapsed="false">
      <c r="A8" s="6" t="s">
        <v>23</v>
      </c>
      <c r="B8" s="7" t="n">
        <f aca="false">SUMIFS(OEE_Diario!$H$6:$H$455,OEE_Diario!$J$6:$J$455,$A8)</f>
        <v>30.5</v>
      </c>
      <c r="C8" s="5" t="n">
        <f aca="false">COUNTIFS(OEE_Diario!$J$6:$J$455,$A8,OEE_Diario!$H$6:$H$455,"&gt;0")</f>
        <v>49</v>
      </c>
      <c r="D8" s="31" t="n">
        <f aca="false">IFERROR(B8/$B$15,0)</f>
        <v>0.117082533589251</v>
      </c>
      <c r="E8" s="31" t="n">
        <f aca="false">SUM($D$5:D8)</f>
        <v>0.628598848368522</v>
      </c>
    </row>
    <row r="9" customFormat="false" ht="15" hidden="false" customHeight="false" outlineLevel="0" collapsed="false">
      <c r="A9" s="6" t="s">
        <v>22</v>
      </c>
      <c r="B9" s="7" t="n">
        <f aca="false">SUMIFS(OEE_Diario!$H$6:$H$455,OEE_Diario!$J$6:$J$455,$A9)</f>
        <v>23.5</v>
      </c>
      <c r="C9" s="5" t="n">
        <f aca="false">COUNTIFS(OEE_Diario!$J$6:$J$455,$A9,OEE_Diario!$H$6:$H$455,"&gt;0")</f>
        <v>33</v>
      </c>
      <c r="D9" s="31" t="n">
        <f aca="false">IFERROR(B9/$B$15,0)</f>
        <v>0.09021113243762</v>
      </c>
      <c r="E9" s="31" t="n">
        <f aca="false">SUM($D$5:D9)</f>
        <v>0.718809980806142</v>
      </c>
    </row>
    <row r="10" customFormat="false" ht="15" hidden="false" customHeight="false" outlineLevel="0" collapsed="false">
      <c r="A10" s="6" t="s">
        <v>25</v>
      </c>
      <c r="B10" s="7" t="n">
        <f aca="false">SUMIFS(OEE_Diario!$H$6:$H$455,OEE_Diario!$J$6:$J$455,$A10)</f>
        <v>19.25</v>
      </c>
      <c r="C10" s="5" t="n">
        <f aca="false">COUNTIFS(OEE_Diario!$J$6:$J$455,$A10,OEE_Diario!$H$6:$H$455,"&gt;0")</f>
        <v>20</v>
      </c>
      <c r="D10" s="31" t="n">
        <f aca="false">IFERROR(B10/$B$15,0)</f>
        <v>0.0738963531669866</v>
      </c>
      <c r="E10" s="31" t="n">
        <f aca="false">SUM($D$5:D10)</f>
        <v>0.792706333973129</v>
      </c>
    </row>
    <row r="11" customFormat="false" ht="15" hidden="false" customHeight="false" outlineLevel="0" collapsed="false">
      <c r="A11" s="6" t="s">
        <v>26</v>
      </c>
      <c r="B11" s="7" t="n">
        <f aca="false">SUMIFS(OEE_Diario!$H$6:$H$455,OEE_Diario!$J$6:$J$455,$A11)</f>
        <v>18</v>
      </c>
      <c r="C11" s="5" t="n">
        <f aca="false">COUNTIFS(OEE_Diario!$J$6:$J$455,$A11,OEE_Diario!$H$6:$H$455,"&gt;0")</f>
        <v>27</v>
      </c>
      <c r="D11" s="31" t="n">
        <f aca="false">IFERROR(B11/$B$15,0)</f>
        <v>0.0690978886756238</v>
      </c>
      <c r="E11" s="31" t="n">
        <f aca="false">SUM($D$5:D11)</f>
        <v>0.861804222648752</v>
      </c>
    </row>
    <row r="12" customFormat="false" ht="15" hidden="false" customHeight="false" outlineLevel="0" collapsed="false">
      <c r="A12" s="6" t="s">
        <v>32</v>
      </c>
      <c r="B12" s="7" t="n">
        <f aca="false">SUMIFS(OEE_Diario!$H$6:$H$455,OEE_Diario!$J$6:$J$455,$A12)</f>
        <v>16</v>
      </c>
      <c r="C12" s="5" t="n">
        <f aca="false">COUNTIFS(OEE_Diario!$J$6:$J$455,$A12,OEE_Diario!$H$6:$H$455,"&gt;0")</f>
        <v>3</v>
      </c>
      <c r="D12" s="31" t="n">
        <f aca="false">IFERROR(B12/$B$15,0)</f>
        <v>0.0614203454894434</v>
      </c>
      <c r="E12" s="31" t="n">
        <f aca="false">SUM($D$5:D12)</f>
        <v>0.923224568138196</v>
      </c>
    </row>
    <row r="13" customFormat="false" ht="15" hidden="false" customHeight="false" outlineLevel="0" collapsed="false">
      <c r="A13" s="6" t="s">
        <v>24</v>
      </c>
      <c r="B13" s="7" t="n">
        <f aca="false">SUMIFS(OEE_Diario!$H$6:$H$455,OEE_Diario!$J$6:$J$455,$A13)</f>
        <v>10.25</v>
      </c>
      <c r="C13" s="5" t="n">
        <f aca="false">COUNTIFS(OEE_Diario!$J$6:$J$455,$A13,OEE_Diario!$H$6:$H$455,"&gt;0")</f>
        <v>16</v>
      </c>
      <c r="D13" s="31" t="n">
        <f aca="false">IFERROR(B13/$B$15,0)</f>
        <v>0.0393474088291747</v>
      </c>
      <c r="E13" s="31" t="n">
        <f aca="false">SUM($D$5:D13)</f>
        <v>0.96257197696737</v>
      </c>
    </row>
    <row r="14" customFormat="false" ht="15" hidden="false" customHeight="false" outlineLevel="0" collapsed="false">
      <c r="A14" s="6" t="s">
        <v>31</v>
      </c>
      <c r="B14" s="7" t="n">
        <f aca="false">SUMIFS(OEE_Diario!$H$6:$H$455,OEE_Diario!$J$6:$J$455,$A14)</f>
        <v>9.75</v>
      </c>
      <c r="C14" s="5" t="n">
        <f aca="false">COUNTIFS(OEE_Diario!$J$6:$J$455,$A14,OEE_Diario!$H$6:$H$455,"&gt;0")</f>
        <v>3</v>
      </c>
      <c r="D14" s="31" t="n">
        <f aca="false">IFERROR(B14/$B$15,0)</f>
        <v>0.0374280230326296</v>
      </c>
      <c r="E14" s="31" t="n">
        <f aca="false">SUM($D$5:D14)</f>
        <v>1</v>
      </c>
    </row>
    <row r="15" customFormat="false" ht="15" hidden="false" customHeight="false" outlineLevel="0" collapsed="false">
      <c r="A15" s="11" t="s">
        <v>139</v>
      </c>
      <c r="B15" s="29" t="n">
        <f aca="false">SUM(B5:B14)</f>
        <v>260.5</v>
      </c>
      <c r="C15" s="26" t="n">
        <f aca="false">SUM(C5:C14)</f>
        <v>282</v>
      </c>
      <c r="D15" s="32" t="n">
        <f aca="false">SUM(D5:D14)</f>
        <v>1</v>
      </c>
    </row>
    <row r="40" customFormat="false" ht="15" hidden="false" customHeight="false" outlineLevel="0" collapsed="false">
      <c r="A40" s="9" t="s">
        <v>140</v>
      </c>
      <c r="B40" s="9"/>
      <c r="C40" s="9"/>
      <c r="D40" s="9"/>
    </row>
    <row r="41" customFormat="false" ht="15" hidden="false" customHeight="false" outlineLevel="0" collapsed="false">
      <c r="A41" s="10" t="s">
        <v>78</v>
      </c>
      <c r="B41" s="10" t="s">
        <v>35</v>
      </c>
      <c r="C41" s="10" t="s">
        <v>36</v>
      </c>
      <c r="D41" s="10" t="s">
        <v>37</v>
      </c>
    </row>
    <row r="42" customFormat="false" ht="15" hidden="false" customHeight="false" outlineLevel="0" collapsed="false">
      <c r="A42" s="6" t="s">
        <v>28</v>
      </c>
      <c r="B42" s="7" t="n">
        <f aca="false">SUMIFS(OEE_Diario!$H$6:$H$455,OEE_Diario!$J$6:$J$455,$A42,OEE_Diario!$C$6:$C$455,1)</f>
        <v>0</v>
      </c>
      <c r="C42" s="7" t="n">
        <f aca="false">SUMIFS(OEE_Diario!$H$6:$H$455,OEE_Diario!$J$6:$J$455,$A42,OEE_Diario!$C$6:$C$455,2)</f>
        <v>59.5</v>
      </c>
      <c r="D42" s="7" t="n">
        <f aca="false">SUMIFS(OEE_Diario!$H$6:$H$455,OEE_Diario!$J$6:$J$455,$A42,OEE_Diario!$C$6:$C$455,3)</f>
        <v>0</v>
      </c>
    </row>
    <row r="43" customFormat="false" ht="15" hidden="false" customHeight="false" outlineLevel="0" collapsed="false">
      <c r="A43" s="6" t="s">
        <v>30</v>
      </c>
      <c r="B43" s="7" t="n">
        <f aca="false">SUMIFS(OEE_Diario!$H$6:$H$455,OEE_Diario!$J$6:$J$455,$A43,OEE_Diario!$C$6:$C$455,1)</f>
        <v>15.75</v>
      </c>
      <c r="C43" s="7" t="n">
        <f aca="false">SUMIFS(OEE_Diario!$H$6:$H$455,OEE_Diario!$J$6:$J$455,$A43,OEE_Diario!$C$6:$C$455,2)</f>
        <v>13</v>
      </c>
      <c r="D43" s="7" t="n">
        <f aca="false">SUMIFS(OEE_Diario!$H$6:$H$455,OEE_Diario!$J$6:$J$455,$A43,OEE_Diario!$C$6:$C$455,3)</f>
        <v>9.25</v>
      </c>
    </row>
    <row r="44" customFormat="false" ht="15" hidden="false" customHeight="false" outlineLevel="0" collapsed="false">
      <c r="A44" s="6" t="s">
        <v>29</v>
      </c>
      <c r="B44" s="7" t="n">
        <f aca="false">SUMIFS(OEE_Diario!$H$6:$H$455,OEE_Diario!$J$6:$J$455,$A44,OEE_Diario!$C$6:$C$455,1)</f>
        <v>18.5</v>
      </c>
      <c r="C44" s="7" t="n">
        <f aca="false">SUMIFS(OEE_Diario!$H$6:$H$455,OEE_Diario!$J$6:$J$455,$A44,OEE_Diario!$C$6:$C$455,2)</f>
        <v>3.25</v>
      </c>
      <c r="D44" s="7" t="n">
        <f aca="false">SUMIFS(OEE_Diario!$H$6:$H$455,OEE_Diario!$J$6:$J$455,$A44,OEE_Diario!$C$6:$C$455,3)</f>
        <v>14</v>
      </c>
    </row>
    <row r="45" customFormat="false" ht="15" hidden="false" customHeight="false" outlineLevel="0" collapsed="false">
      <c r="A45" s="6" t="s">
        <v>23</v>
      </c>
      <c r="B45" s="7" t="n">
        <f aca="false">SUMIFS(OEE_Diario!$H$6:$H$455,OEE_Diario!$J$6:$J$455,$A45,OEE_Diario!$C$6:$C$455,1)</f>
        <v>0</v>
      </c>
      <c r="C45" s="7" t="n">
        <f aca="false">SUMIFS(OEE_Diario!$H$6:$H$455,OEE_Diario!$J$6:$J$455,$A45,OEE_Diario!$C$6:$C$455,2)</f>
        <v>19</v>
      </c>
      <c r="D45" s="7" t="n">
        <f aca="false">SUMIFS(OEE_Diario!$H$6:$H$455,OEE_Diario!$J$6:$J$455,$A45,OEE_Diario!$C$6:$C$455,3)</f>
        <v>11.5</v>
      </c>
    </row>
    <row r="46" customFormat="false" ht="15" hidden="false" customHeight="false" outlineLevel="0" collapsed="false">
      <c r="A46" s="6" t="s">
        <v>22</v>
      </c>
      <c r="B46" s="7" t="n">
        <f aca="false">SUMIFS(OEE_Diario!$H$6:$H$455,OEE_Diario!$J$6:$J$455,$A46,OEE_Diario!$C$6:$C$455,1)</f>
        <v>23.5</v>
      </c>
      <c r="C46" s="7" t="n">
        <f aca="false">SUMIFS(OEE_Diario!$H$6:$H$455,OEE_Diario!$J$6:$J$455,$A46,OEE_Diario!$C$6:$C$455,2)</f>
        <v>0</v>
      </c>
      <c r="D46" s="7" t="n">
        <f aca="false">SUMIFS(OEE_Diario!$H$6:$H$455,OEE_Diario!$J$6:$J$455,$A46,OEE_Diario!$C$6:$C$455,3)</f>
        <v>0</v>
      </c>
    </row>
    <row r="47" customFormat="false" ht="15" hidden="false" customHeight="false" outlineLevel="0" collapsed="false">
      <c r="A47" s="6" t="s">
        <v>25</v>
      </c>
      <c r="B47" s="7" t="n">
        <f aca="false">SUMIFS(OEE_Diario!$H$6:$H$455,OEE_Diario!$J$6:$J$455,$A47,OEE_Diario!$C$6:$C$455,1)</f>
        <v>0</v>
      </c>
      <c r="C47" s="7" t="n">
        <f aca="false">SUMIFS(OEE_Diario!$H$6:$H$455,OEE_Diario!$J$6:$J$455,$A47,OEE_Diario!$C$6:$C$455,2)</f>
        <v>0</v>
      </c>
      <c r="D47" s="7" t="n">
        <f aca="false">SUMIFS(OEE_Diario!$H$6:$H$455,OEE_Diario!$J$6:$J$455,$A47,OEE_Diario!$C$6:$C$455,3)</f>
        <v>19.25</v>
      </c>
    </row>
    <row r="48" customFormat="false" ht="15" hidden="false" customHeight="false" outlineLevel="0" collapsed="false">
      <c r="A48" s="6" t="s">
        <v>26</v>
      </c>
      <c r="B48" s="7" t="n">
        <f aca="false">SUMIFS(OEE_Diario!$H$6:$H$455,OEE_Diario!$J$6:$J$455,$A48,OEE_Diario!$C$6:$C$455,1)</f>
        <v>4.5</v>
      </c>
      <c r="C48" s="7" t="n">
        <f aca="false">SUMIFS(OEE_Diario!$H$6:$H$455,OEE_Diario!$J$6:$J$455,$A48,OEE_Diario!$C$6:$C$455,2)</f>
        <v>9</v>
      </c>
      <c r="D48" s="7" t="n">
        <f aca="false">SUMIFS(OEE_Diario!$H$6:$H$455,OEE_Diario!$J$6:$J$455,$A48,OEE_Diario!$C$6:$C$455,3)</f>
        <v>4.5</v>
      </c>
    </row>
    <row r="49" customFormat="false" ht="15" hidden="false" customHeight="false" outlineLevel="0" collapsed="false">
      <c r="A49" s="6" t="s">
        <v>32</v>
      </c>
      <c r="B49" s="7" t="n">
        <f aca="false">SUMIFS(OEE_Diario!$H$6:$H$455,OEE_Diario!$J$6:$J$455,$A49,OEE_Diario!$C$6:$C$455,1)</f>
        <v>5.25</v>
      </c>
      <c r="C49" s="7" t="n">
        <f aca="false">SUMIFS(OEE_Diario!$H$6:$H$455,OEE_Diario!$J$6:$J$455,$A49,OEE_Diario!$C$6:$C$455,2)</f>
        <v>5</v>
      </c>
      <c r="D49" s="7" t="n">
        <f aca="false">SUMIFS(OEE_Diario!$H$6:$H$455,OEE_Diario!$J$6:$J$455,$A49,OEE_Diario!$C$6:$C$455,3)</f>
        <v>5.75</v>
      </c>
    </row>
    <row r="50" customFormat="false" ht="15" hidden="false" customHeight="false" outlineLevel="0" collapsed="false">
      <c r="A50" s="6" t="s">
        <v>24</v>
      </c>
      <c r="B50" s="7" t="n">
        <f aca="false">SUMIFS(OEE_Diario!$H$6:$H$455,OEE_Diario!$J$6:$J$455,$A50,OEE_Diario!$C$6:$C$455,1)</f>
        <v>10.25</v>
      </c>
      <c r="C50" s="7" t="n">
        <f aca="false">SUMIFS(OEE_Diario!$H$6:$H$455,OEE_Diario!$J$6:$J$455,$A50,OEE_Diario!$C$6:$C$455,2)</f>
        <v>0</v>
      </c>
      <c r="D50" s="7" t="n">
        <f aca="false">SUMIFS(OEE_Diario!$H$6:$H$455,OEE_Diario!$J$6:$J$455,$A50,OEE_Diario!$C$6:$C$455,3)</f>
        <v>0</v>
      </c>
    </row>
    <row r="51" customFormat="false" ht="15" hidden="false" customHeight="false" outlineLevel="0" collapsed="false">
      <c r="A51" s="6" t="s">
        <v>31</v>
      </c>
      <c r="B51" s="7" t="n">
        <f aca="false">SUMIFS(OEE_Diario!$H$6:$H$455,OEE_Diario!$J$6:$J$455,$A51,OEE_Diario!$C$6:$C$455,1)</f>
        <v>3.25</v>
      </c>
      <c r="C51" s="7" t="n">
        <f aca="false">SUMIFS(OEE_Diario!$H$6:$H$455,OEE_Diario!$J$6:$J$455,$A51,OEE_Diario!$C$6:$C$455,2)</f>
        <v>3</v>
      </c>
      <c r="D51" s="7" t="n">
        <f aca="false">SUMIFS(OEE_Diario!$H$6:$H$455,OEE_Diario!$J$6:$J$455,$A51,OEE_Diario!$C$6:$C$455,3)</f>
        <v>3.5</v>
      </c>
    </row>
  </sheetData>
  <mergeCells count="3">
    <mergeCell ref="A1:E1"/>
    <mergeCell ref="A2:E2"/>
    <mergeCell ref="A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2026-09-12T22:13:53Z</dcterms:created>
  <dc:creator>openpyxl</dc:creator>
  <dc:description/>
  <dc:language>en-US</dc:language>
  <cp:lastModifiedBy/>
  <dcterms:modified xsi:type="dcterms:W3CDTF">2026-09-12T22:13:56Z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